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pa" sheetId="1" state="visible" r:id="rId3"/>
    <sheet name="Serie_Mensal" sheetId="2" state="visible" r:id="rId4"/>
    <sheet name="Regional" sheetId="3" state="visible" r:id="rId5"/>
    <sheet name="Segmento" sheetId="4" state="visible" r:id="rId6"/>
    <sheet name="Setor" sheetId="5" state="visible" r:id="rId7"/>
    <sheet name="Funil_Aprovacao" sheetId="6" state="visible" r:id="rId8"/>
    <sheet name="Faixas_Risco" sheetId="7" state="visible" r:id="rId9"/>
    <sheet name="Operacao_Diaria" sheetId="8" state="visible" r:id="rId10"/>
    <sheet name="KPIs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<sst xmlns="http://schemas.openxmlformats.org/spreadsheetml/2006/main" count="674" uniqueCount="160">
  <si>
    <t xml:space="preserve">Ippiz — Base de Dados de Carteira e Risco</t>
  </si>
  <si>
    <t xml:space="preserve">Crédito instantâneo via PIX para micro e pequenas empresas (dados 100% fictícios)</t>
  </si>
  <si>
    <t xml:space="preserve">Case de portfólio — construído a partir da descrição de vaga de Business Analyst</t>
  </si>
  <si>
    <t xml:space="preserve">Abas:</t>
  </si>
  <si>
    <t xml:space="preserve">•  Serie_Mensal — evolução de carteira, inadimplência, SLA, aprovação (18 meses)</t>
  </si>
  <si>
    <t xml:space="preserve">•  Regional / Segmento / Setor — quebras da carteira ativa atual</t>
  </si>
  <si>
    <t xml:space="preserve">•  Funil_Aprovacao — solicitado &gt; análise &gt; aprovado &gt; desembolsado &gt; recusado</t>
  </si>
  <si>
    <t xml:space="preserve">•  Faixas_Risco — aging da carteira (em dia até 90+ dias)</t>
  </si>
  <si>
    <t xml:space="preserve">•  Operacao_Diaria — produtividade e fila por analista (últimos 30 dias)</t>
  </si>
  <si>
    <t xml:space="preserve">•  KPIs — indicadores consolidados do mês corrente, com fórmulas</t>
  </si>
  <si>
    <t xml:space="preserve">Série Mensal — Ippiz</t>
  </si>
  <si>
    <t xml:space="preserve">mes_idx</t>
  </si>
  <si>
    <t xml:space="preserve">competencia</t>
  </si>
  <si>
    <t xml:space="preserve">mes_label</t>
  </si>
  <si>
    <t xml:space="preserve">valor_concedido</t>
  </si>
  <si>
    <t xml:space="preserve">qtd_operacoes</t>
  </si>
  <si>
    <t xml:space="preserve">ticket_medio</t>
  </si>
  <si>
    <t xml:space="preserve">inadimplencia_15d</t>
  </si>
  <si>
    <t xml:space="preserve">inadimplencia_30d</t>
  </si>
  <si>
    <t xml:space="preserve">inadimplencia_90d</t>
  </si>
  <si>
    <t xml:space="preserve">taxa_aprovacao</t>
  </si>
  <si>
    <t xml:space="preserve">sla_medio_horas</t>
  </si>
  <si>
    <t xml:space="preserve">recuperacao_cobranca</t>
  </si>
  <si>
    <t xml:space="preserve">nps</t>
  </si>
  <si>
    <t xml:space="preserve">2025-01</t>
  </si>
  <si>
    <t xml:space="preserve">Jan/25</t>
  </si>
  <si>
    <t xml:space="preserve">2025-02</t>
  </si>
  <si>
    <t xml:space="preserve">Feb/25</t>
  </si>
  <si>
    <t xml:space="preserve">2025-03</t>
  </si>
  <si>
    <t xml:space="preserve">Mar/25</t>
  </si>
  <si>
    <t xml:space="preserve">2025-04</t>
  </si>
  <si>
    <t xml:space="preserve">Apr/25</t>
  </si>
  <si>
    <t xml:space="preserve">2025-05</t>
  </si>
  <si>
    <t xml:space="preserve">May/25</t>
  </si>
  <si>
    <t xml:space="preserve">2025-06</t>
  </si>
  <si>
    <t xml:space="preserve">Jun/25</t>
  </si>
  <si>
    <t xml:space="preserve">2025-07</t>
  </si>
  <si>
    <t xml:space="preserve">Jul/25</t>
  </si>
  <si>
    <t xml:space="preserve">2025-08</t>
  </si>
  <si>
    <t xml:space="preserve">Aug/25</t>
  </si>
  <si>
    <t xml:space="preserve">2025-09</t>
  </si>
  <si>
    <t xml:space="preserve">Sep/25</t>
  </si>
  <si>
    <t xml:space="preserve">2025-10</t>
  </si>
  <si>
    <t xml:space="preserve">Oct/25</t>
  </si>
  <si>
    <t xml:space="preserve">2025-11</t>
  </si>
  <si>
    <t xml:space="preserve">Nov/25</t>
  </si>
  <si>
    <t xml:space="preserve">2025-12</t>
  </si>
  <si>
    <t xml:space="preserve">Dec/25</t>
  </si>
  <si>
    <t xml:space="preserve">2026-01</t>
  </si>
  <si>
    <t xml:space="preserve">Jan/26</t>
  </si>
  <si>
    <t xml:space="preserve">2026-02</t>
  </si>
  <si>
    <t xml:space="preserve">Feb/26</t>
  </si>
  <si>
    <t xml:space="preserve">2026-03</t>
  </si>
  <si>
    <t xml:space="preserve">Mar/26</t>
  </si>
  <si>
    <t xml:space="preserve">2026-04</t>
  </si>
  <si>
    <t xml:space="preserve">Apr/26</t>
  </si>
  <si>
    <t xml:space="preserve">2026-05</t>
  </si>
  <si>
    <t xml:space="preserve">May/26</t>
  </si>
  <si>
    <t xml:space="preserve">2026-06</t>
  </si>
  <si>
    <t xml:space="preserve">Jun/26</t>
  </si>
  <si>
    <t xml:space="preserve">Carteira Ativa por Região</t>
  </si>
  <si>
    <t xml:space="preserve">regiao</t>
  </si>
  <si>
    <t xml:space="preserve">valor_carteira</t>
  </si>
  <si>
    <t xml:space="preserve">qtd_clientes_ativos</t>
  </si>
  <si>
    <t xml:space="preserve">Centro-Oeste</t>
  </si>
  <si>
    <t xml:space="preserve">Nordeste</t>
  </si>
  <si>
    <t xml:space="preserve">Norte</t>
  </si>
  <si>
    <t xml:space="preserve">Sudeste</t>
  </si>
  <si>
    <t xml:space="preserve">Sul</t>
  </si>
  <si>
    <t xml:space="preserve">% da Carteira Total</t>
  </si>
  <si>
    <t xml:space="preserve">Carteira Ativa por Segmento</t>
  </si>
  <si>
    <t xml:space="preserve">segmento</t>
  </si>
  <si>
    <t xml:space="preserve">Micro Empresa</t>
  </si>
  <si>
    <t xml:space="preserve">Microempreendedor (MEI)</t>
  </si>
  <si>
    <t xml:space="preserve">Pequena Empresa</t>
  </si>
  <si>
    <t xml:space="preserve">Carteira Ativa por Setor</t>
  </si>
  <si>
    <t xml:space="preserve">setor</t>
  </si>
  <si>
    <t xml:space="preserve">Alimentação</t>
  </si>
  <si>
    <t xml:space="preserve">Construção</t>
  </si>
  <si>
    <t xml:space="preserve">Indústria</t>
  </si>
  <si>
    <t xml:space="preserve">Serviços</t>
  </si>
  <si>
    <t xml:space="preserve">Tecnologia</t>
  </si>
  <si>
    <t xml:space="preserve">Varejo</t>
  </si>
  <si>
    <t xml:space="preserve">Funil de Aprovação — Mês Corrente</t>
  </si>
  <si>
    <t xml:space="preserve">etapa</t>
  </si>
  <si>
    <t xml:space="preserve">ordem</t>
  </si>
  <si>
    <t xml:space="preserve">qtd</t>
  </si>
  <si>
    <t xml:space="preserve">% Conversão vs. Solicitado</t>
  </si>
  <si>
    <t xml:space="preserve">Solicitado</t>
  </si>
  <si>
    <t xml:space="preserve">Em Análise</t>
  </si>
  <si>
    <t xml:space="preserve">Aprovado</t>
  </si>
  <si>
    <t xml:space="preserve">Desembolsado</t>
  </si>
  <si>
    <t xml:space="preserve">Recusado</t>
  </si>
  <si>
    <t xml:space="preserve">Faixas de Risco (Aging da Carteira)</t>
  </si>
  <si>
    <t xml:space="preserve">faixa</t>
  </si>
  <si>
    <t xml:space="preserve">valor</t>
  </si>
  <si>
    <t xml:space="preserve">percentual</t>
  </si>
  <si>
    <t xml:space="preserve">Em dia</t>
  </si>
  <si>
    <t xml:space="preserve">15-30 dias</t>
  </si>
  <si>
    <t xml:space="preserve">31-60 dias</t>
  </si>
  <si>
    <t xml:space="preserve">61-90 dias</t>
  </si>
  <si>
    <t xml:space="preserve">90+ dias</t>
  </si>
  <si>
    <t xml:space="preserve">Operação Diária por Analista (últimos 30 dias)</t>
  </si>
  <si>
    <t xml:space="preserve">data</t>
  </si>
  <si>
    <t xml:space="preserve">analista</t>
  </si>
  <si>
    <t xml:space="preserve">fila_pendente</t>
  </si>
  <si>
    <t xml:space="preserve">tempo_medio_resposta_h</t>
  </si>
  <si>
    <t xml:space="preserve">operacoes_analisadas</t>
  </si>
  <si>
    <t xml:space="preserve">2026-06-01</t>
  </si>
  <si>
    <t xml:space="preserve">Analista A</t>
  </si>
  <si>
    <t xml:space="preserve">Analista B</t>
  </si>
  <si>
    <t xml:space="preserve">Analista C</t>
  </si>
  <si>
    <t xml:space="preserve">Analista D</t>
  </si>
  <si>
    <t xml:space="preserve">Analista E</t>
  </si>
  <si>
    <t xml:space="preserve">Analista F</t>
  </si>
  <si>
    <t xml:space="preserve">2026-06-02</t>
  </si>
  <si>
    <t xml:space="preserve">2026-06-03</t>
  </si>
  <si>
    <t xml:space="preserve">2026-06-04</t>
  </si>
  <si>
    <t xml:space="preserve">2026-06-05</t>
  </si>
  <si>
    <t xml:space="preserve">2026-06-06</t>
  </si>
  <si>
    <t xml:space="preserve">2026-06-07</t>
  </si>
  <si>
    <t xml:space="preserve">2026-06-08</t>
  </si>
  <si>
    <t xml:space="preserve">2026-06-09</t>
  </si>
  <si>
    <t xml:space="preserve">2026-06-10</t>
  </si>
  <si>
    <t xml:space="preserve">2026-06-11</t>
  </si>
  <si>
    <t xml:space="preserve">2026-06-12</t>
  </si>
  <si>
    <t xml:space="preserve">2026-06-13</t>
  </si>
  <si>
    <t xml:space="preserve">2026-06-14</t>
  </si>
  <si>
    <t xml:space="preserve">2026-06-15</t>
  </si>
  <si>
    <t xml:space="preserve">2026-06-16</t>
  </si>
  <si>
    <t xml:space="preserve">2026-06-17</t>
  </si>
  <si>
    <t xml:space="preserve">2026-06-18</t>
  </si>
  <si>
    <t xml:space="preserve">2026-06-19</t>
  </si>
  <si>
    <t xml:space="preserve">2026-06-20</t>
  </si>
  <si>
    <t xml:space="preserve">2026-06-21</t>
  </si>
  <si>
    <t xml:space="preserve">2026-06-22</t>
  </si>
  <si>
    <t xml:space="preserve">2026-06-23</t>
  </si>
  <si>
    <t xml:space="preserve">2026-06-24</t>
  </si>
  <si>
    <t xml:space="preserve">2026-06-25</t>
  </si>
  <si>
    <t xml:space="preserve">2026-06-26</t>
  </si>
  <si>
    <t xml:space="preserve">2026-06-27</t>
  </si>
  <si>
    <t xml:space="preserve">2026-06-28</t>
  </si>
  <si>
    <t xml:space="preserve">2026-06-29</t>
  </si>
  <si>
    <t xml:space="preserve">2026-06-30</t>
  </si>
  <si>
    <t xml:space="preserve">Indicadores Consolidados — Mês Corrente</t>
  </si>
  <si>
    <t xml:space="preserve">Indicador</t>
  </si>
  <si>
    <t xml:space="preserve">Valor</t>
  </si>
  <si>
    <t xml:space="preserve">Valor Concedido no Mês (R$)</t>
  </si>
  <si>
    <t xml:space="preserve">Variação vs. Mês Anterior (%)</t>
  </si>
  <si>
    <t xml:space="preserve">Qtd. Operações no Mês</t>
  </si>
  <si>
    <t xml:space="preserve">Ticket Médio (R$)</t>
  </si>
  <si>
    <t xml:space="preserve">Taxa de Aprovação (%)</t>
  </si>
  <si>
    <t xml:space="preserve">Inadimplência 15d (%)</t>
  </si>
  <si>
    <t xml:space="preserve">Inadimplência 30d (%)</t>
  </si>
  <si>
    <t xml:space="preserve">Inadimplência 90d (%)</t>
  </si>
  <si>
    <t xml:space="preserve">SLA Médio de Análise (horas)</t>
  </si>
  <si>
    <t xml:space="preserve">Recuperação em Cobrança (%)</t>
  </si>
  <si>
    <t xml:space="preserve">NPS</t>
  </si>
  <si>
    <t xml:space="preserve">Carteira Ativa Total (R$)</t>
  </si>
  <si>
    <t xml:space="preserve">Clientes Ativos (Total)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</si>
</sst>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;\(#,##0\);\-"/>
    <numFmt numFmtId="166" formatCode="0.0\%"/>
    <numFmt numFmtId="167" formatCode="0.0"/>
    <numFmt numFmtId="168" formatCode="#,##0"/>
    <numFmt numFmtId="169" formatCode="0.0%"/>
    <numFmt numFmtId="170" formatCode="0.00\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E2A5E"/>
      <name val="Arial"/>
      <family val="0"/>
      <charset val="1"/>
    </font>
    <font>
      <i val="true"/>
      <sz val="11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4"/>
      <color rgb="FF1E2A5E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1"/>
      <color rgb="FF1E2A5E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E2A5E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BE4B48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4A7EBB"/>
      <rgbColor rgb="FF969696"/>
      <rgbColor rgb="FF1E2A5E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Valor Concedido por Mês (R$)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Serie_Mensal!C3</c:f>
              <c:strCache>
                <c:ptCount val="1"/>
                <c:pt idx="0">
                  <c:v>mes_label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Serie_Mensal!$B$4:$B$21</c:f>
              <c:strCache>
                <c:ptCount val="18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  <c:pt idx="12">
                  <c:v>2026-01</c:v>
                </c:pt>
                <c:pt idx="13">
                  <c:v>2026-02</c:v>
                </c:pt>
                <c:pt idx="14">
                  <c:v>2026-03</c:v>
                </c:pt>
                <c:pt idx="15">
                  <c:v>2026-04</c:v>
                </c:pt>
                <c:pt idx="16">
                  <c:v>2026-05</c:v>
                </c:pt>
                <c:pt idx="17">
                  <c:v>2026-06</c:v>
                </c:pt>
              </c:strCache>
            </c:strRef>
          </c:cat>
          <c:val>
            <c:numRef>
              <c:f>Serie_Mensal!$C$4:$C$21</c:f>
              <c:numCache>
                <c:formatCode>General</c:formatCode>
                <c:ptCount val="18"/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5059522"/>
        <c:axId val="16561089"/>
      </c:lineChart>
      <c:catAx>
        <c:axId val="5505952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561089"/>
        <c:crosses val="autoZero"/>
        <c:auto val="1"/>
        <c:lblAlgn val="ctr"/>
        <c:lblOffset val="100"/>
        <c:noMultiLvlLbl val="0"/>
      </c:catAx>
      <c:valAx>
        <c:axId val="1656108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05952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Inadimplência 30d (%) e Taxa de Aprovação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Serie_Mensal!G3</c:f>
              <c:strCache>
                <c:ptCount val="1"/>
                <c:pt idx="0">
                  <c:v>inadimplencia_15d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Serie_Mensal!$B$4:$B$21</c:f>
              <c:strCache>
                <c:ptCount val="18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  <c:pt idx="12">
                  <c:v>2026-01</c:v>
                </c:pt>
                <c:pt idx="13">
                  <c:v>2026-02</c:v>
                </c:pt>
                <c:pt idx="14">
                  <c:v>2026-03</c:v>
                </c:pt>
                <c:pt idx="15">
                  <c:v>2026-04</c:v>
                </c:pt>
                <c:pt idx="16">
                  <c:v>2026-05</c:v>
                </c:pt>
                <c:pt idx="17">
                  <c:v>2026-06</c:v>
                </c:pt>
              </c:strCache>
            </c:strRef>
          </c:cat>
          <c:val>
            <c:numRef>
              <c:f>Serie_Mensal!$G$4:$G$21</c:f>
              <c:numCache>
                <c:formatCode>0.0\%</c:formatCode>
                <c:ptCount val="18"/>
                <c:pt idx="0">
                  <c:v>6.92770022845785</c:v>
                </c:pt>
                <c:pt idx="1">
                  <c:v>6.97692913661269</c:v>
                </c:pt>
                <c:pt idx="2">
                  <c:v>6.69649887337202</c:v>
                </c:pt>
                <c:pt idx="3">
                  <c:v>6.50620678182691</c:v>
                </c:pt>
                <c:pt idx="4">
                  <c:v>6.56243904740763</c:v>
                </c:pt>
                <c:pt idx="5">
                  <c:v>6.12811126788838</c:v>
                </c:pt>
                <c:pt idx="6">
                  <c:v>6.56972546773672</c:v>
                </c:pt>
                <c:pt idx="7">
                  <c:v>6.64799871604583</c:v>
                </c:pt>
                <c:pt idx="8">
                  <c:v>6.02435815641677</c:v>
                </c:pt>
                <c:pt idx="9">
                  <c:v>5.93116421326059</c:v>
                </c:pt>
                <c:pt idx="10">
                  <c:v>6.19772844885282</c:v>
                </c:pt>
                <c:pt idx="11">
                  <c:v>6.01321828139464</c:v>
                </c:pt>
                <c:pt idx="12">
                  <c:v>5.93394291359664</c:v>
                </c:pt>
                <c:pt idx="13">
                  <c:v>5.48855275530332</c:v>
                </c:pt>
                <c:pt idx="14">
                  <c:v>5.54227747660062</c:v>
                </c:pt>
                <c:pt idx="15">
                  <c:v>5.71933290246114</c:v>
                </c:pt>
                <c:pt idx="16">
                  <c:v>5.06033703726631</c:v>
                </c:pt>
                <c:pt idx="17">
                  <c:v>5.14536640673384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Serie_Mensal!I3</c:f>
              <c:strCache>
                <c:ptCount val="1"/>
                <c:pt idx="0">
                  <c:v>inadimplencia_90d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Serie_Mensal!$B$4:$B$21</c:f>
              <c:strCache>
                <c:ptCount val="18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  <c:pt idx="12">
                  <c:v>2026-01</c:v>
                </c:pt>
                <c:pt idx="13">
                  <c:v>2026-02</c:v>
                </c:pt>
                <c:pt idx="14">
                  <c:v>2026-03</c:v>
                </c:pt>
                <c:pt idx="15">
                  <c:v>2026-04</c:v>
                </c:pt>
                <c:pt idx="16">
                  <c:v>2026-05</c:v>
                </c:pt>
                <c:pt idx="17">
                  <c:v>2026-06</c:v>
                </c:pt>
              </c:strCache>
            </c:strRef>
          </c:cat>
          <c:val>
            <c:numRef>
              <c:f>Serie_Mensal!$I$4:$I$21</c:f>
              <c:numCache>
                <c:formatCode>0.0\%</c:formatCode>
                <c:ptCount val="18"/>
                <c:pt idx="0">
                  <c:v>1.69215133648791</c:v>
                </c:pt>
                <c:pt idx="1">
                  <c:v>1.72572172573624</c:v>
                </c:pt>
                <c:pt idx="2">
                  <c:v>1.6607730943797</c:v>
                </c:pt>
                <c:pt idx="3">
                  <c:v>1.59386267523703</c:v>
                </c:pt>
                <c:pt idx="4">
                  <c:v>1.62130474452053</c:v>
                </c:pt>
                <c:pt idx="5">
                  <c:v>1.55199380883232</c:v>
                </c:pt>
                <c:pt idx="6">
                  <c:v>1.65957888491439</c:v>
                </c:pt>
                <c:pt idx="7">
                  <c:v>1.67756978645204</c:v>
                </c:pt>
                <c:pt idx="8">
                  <c:v>1.50678458454172</c:v>
                </c:pt>
                <c:pt idx="9">
                  <c:v>1.4760158009186</c:v>
                </c:pt>
                <c:pt idx="10">
                  <c:v>1.53086474211523</c:v>
                </c:pt>
                <c:pt idx="11">
                  <c:v>1.45497753437368</c:v>
                </c:pt>
                <c:pt idx="12">
                  <c:v>1.44682776092268</c:v>
                </c:pt>
                <c:pt idx="13">
                  <c:v>1.35098236363377</c:v>
                </c:pt>
                <c:pt idx="14">
                  <c:v>1.37703937637794</c:v>
                </c:pt>
                <c:pt idx="15">
                  <c:v>1.37913843372579</c:v>
                </c:pt>
                <c:pt idx="16">
                  <c:v>1.23973191526463</c:v>
                </c:pt>
                <c:pt idx="17">
                  <c:v>1.26999391427885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1438395"/>
        <c:axId val="53924237"/>
      </c:lineChart>
      <c:catAx>
        <c:axId val="914383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924237"/>
        <c:crosses val="autoZero"/>
        <c:auto val="1"/>
        <c:lblAlgn val="ctr"/>
        <c:lblOffset val="100"/>
        <c:noMultiLvlLbl val="0"/>
      </c:catAx>
      <c:valAx>
        <c:axId val="5392423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\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43839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Carteira Ativa por Região (R$)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Regional!B3</c:f>
              <c:strCache>
                <c:ptCount val="1"/>
                <c:pt idx="0">
                  <c:v>valor_carteira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Regional!$A$4:$A$8</c:f>
              <c:strCache>
                <c:ptCount val="5"/>
                <c:pt idx="0">
                  <c:v>Centro-Oeste</c:v>
                </c:pt>
                <c:pt idx="1">
                  <c:v>Nordeste</c:v>
                </c:pt>
                <c:pt idx="2">
                  <c:v>Norte</c:v>
                </c:pt>
                <c:pt idx="3">
                  <c:v>Sudeste</c:v>
                </c:pt>
                <c:pt idx="4">
                  <c:v>Sul</c:v>
                </c:pt>
              </c:strCache>
            </c:strRef>
          </c:cat>
          <c:val>
            <c:numRef>
              <c:f>Regional!$B$4:$B$8</c:f>
              <c:numCache>
                <c:formatCode>#,##0;\(#,##0\);\-</c:formatCode>
                <c:ptCount val="5"/>
                <c:pt idx="0">
                  <c:v>14130857.8818889</c:v>
                </c:pt>
                <c:pt idx="1">
                  <c:v>24542107.5986111</c:v>
                </c:pt>
                <c:pt idx="2">
                  <c:v>8992086.69783334</c:v>
                </c:pt>
                <c:pt idx="3">
                  <c:v>53676645.7998889</c:v>
                </c:pt>
                <c:pt idx="4">
                  <c:v>26768426.1442222</c:v>
                </c:pt>
              </c:numCache>
            </c:numRef>
          </c:val>
        </c:ser>
        <c:gapWidth val="150"/>
        <c:overlap val="0"/>
        <c:axId val="92758410"/>
        <c:axId val="75633107"/>
      </c:barChart>
      <c:catAx>
        <c:axId val="927584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633107"/>
        <c:crosses val="autoZero"/>
        <c:auto val="1"/>
        <c:lblAlgn val="ctr"/>
        <c:lblOffset val="100"/>
        <c:noMultiLvlLbl val="0"/>
      </c:catAx>
      <c:valAx>
        <c:axId val="7563310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75841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22</xdr:row>
      <xdr:rowOff>160560</xdr:rowOff>
    </xdr:from>
    <xdr:to>
      <xdr:col>8</xdr:col>
      <xdr:colOff>181440</xdr:colOff>
      <xdr:row>41</xdr:row>
      <xdr:rowOff>140760</xdr:rowOff>
    </xdr:to>
    <xdr:graphicFrame>
      <xdr:nvGraphicFramePr>
        <xdr:cNvPr id="0" name="Chart 1"/>
        <xdr:cNvGraphicFramePr/>
      </xdr:nvGraphicFramePr>
      <xdr:xfrm>
        <a:off x="0" y="4381560"/>
        <a:ext cx="863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42</xdr:row>
      <xdr:rowOff>160560</xdr:rowOff>
    </xdr:from>
    <xdr:to>
      <xdr:col>8</xdr:col>
      <xdr:colOff>181440</xdr:colOff>
      <xdr:row>61</xdr:row>
      <xdr:rowOff>140760</xdr:rowOff>
    </xdr:to>
    <xdr:graphicFrame>
      <xdr:nvGraphicFramePr>
        <xdr:cNvPr id="1" name="Chart 2"/>
        <xdr:cNvGraphicFramePr/>
      </xdr:nvGraphicFramePr>
      <xdr:xfrm>
        <a:off x="0" y="8191440"/>
        <a:ext cx="863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16</xdr:row>
      <xdr:rowOff>160560</xdr:rowOff>
    </xdr:from>
    <xdr:to>
      <xdr:col>5</xdr:col>
      <xdr:colOff>151200</xdr:colOff>
      <xdr:row>35</xdr:row>
      <xdr:rowOff>140760</xdr:rowOff>
    </xdr:to>
    <xdr:graphicFrame>
      <xdr:nvGraphicFramePr>
        <xdr:cNvPr id="2" name="Chart 1"/>
        <xdr:cNvGraphicFramePr/>
      </xdr:nvGraphicFramePr>
      <xdr:xfrm>
        <a:off x="0" y="3238560"/>
        <a:ext cx="71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1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00"/>
  </cols>
  <sheetData>
    <row r="2" customFormat="false" ht="22.05" hidden="false" customHeight="false" outlineLevel="0" collapsed="false">
      <c r="B2" s="1" t="s">
        <v>0</v>
      </c>
    </row>
    <row r="4" customFormat="false" ht="15" hidden="false" customHeight="false" outlineLevel="0" collapsed="false">
      <c r="B4" s="2" t="s">
        <v>1</v>
      </c>
    </row>
    <row r="6" customFormat="false" ht="15" hidden="false" customHeight="false" outlineLevel="0" collapsed="false">
      <c r="B6" s="3" t="s">
        <v>2</v>
      </c>
    </row>
    <row r="8" customFormat="false" ht="15" hidden="false" customHeight="false" outlineLevel="0" collapsed="false">
      <c r="B8" s="4" t="s">
        <v>3</v>
      </c>
    </row>
    <row r="9" customFormat="false" ht="15" hidden="false" customHeight="false" outlineLevel="0" collapsed="false">
      <c r="B9" s="3" t="s">
        <v>4</v>
      </c>
    </row>
    <row r="10" customFormat="false" ht="15" hidden="false" customHeight="false" outlineLevel="0" collapsed="false">
      <c r="B10" s="3" t="s">
        <v>5</v>
      </c>
    </row>
    <row r="11" customFormat="false" ht="15" hidden="false" customHeight="false" outlineLevel="0" collapsed="false">
      <c r="B11" s="3" t="s">
        <v>6</v>
      </c>
    </row>
    <row r="12" customFormat="false" ht="15" hidden="false" customHeight="false" outlineLevel="0" collapsed="false">
      <c r="B12" s="3" t="s">
        <v>7</v>
      </c>
    </row>
    <row r="13" customFormat="false" ht="15" hidden="false" customHeight="false" outlineLevel="0" collapsed="false">
      <c r="B13" s="3" t="s">
        <v>8</v>
      </c>
    </row>
    <row r="14" customFormat="false" ht="15" hidden="false" customHeight="false" outlineLevel="0" collapsed="false">
      <c r="B14" s="3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3" min="1" style="0" width="15"/>
  </cols>
  <sheetData>
    <row r="1" customFormat="false" ht="17.35" hidden="false" customHeight="false" outlineLevel="0" collapsed="false">
      <c r="A1" s="5" t="s">
        <v>10</v>
      </c>
    </row>
    <row r="3" customFormat="false" ht="15" hidden="false" customHeight="false" outlineLevel="0" collapsed="false">
      <c r="A3" s="6" t="s">
        <v>11</v>
      </c>
      <c r="B3" s="6" t="s">
        <v>12</v>
      </c>
      <c r="C3" s="6" t="s">
        <v>13</v>
      </c>
      <c r="D3" s="6" t="s">
        <v>14</v>
      </c>
      <c r="E3" s="6" t="s">
        <v>15</v>
      </c>
      <c r="F3" s="6" t="s">
        <v>16</v>
      </c>
      <c r="G3" s="6" t="s">
        <v>17</v>
      </c>
      <c r="H3" s="6" t="s">
        <v>18</v>
      </c>
      <c r="I3" s="6" t="s">
        <v>19</v>
      </c>
      <c r="J3" s="6" t="s">
        <v>20</v>
      </c>
      <c r="K3" s="6" t="s">
        <v>21</v>
      </c>
      <c r="L3" s="6" t="s">
        <v>22</v>
      </c>
      <c r="M3" s="6" t="s">
        <v>23</v>
      </c>
    </row>
    <row r="4" customFormat="false" ht="15" hidden="false" customHeight="false" outlineLevel="0" collapsed="false">
      <c r="A4" s="7" t="n">
        <v>0</v>
      </c>
      <c r="B4" s="7" t="s">
        <v>24</v>
      </c>
      <c r="C4" s="7" t="s">
        <v>25</v>
      </c>
      <c r="D4" s="8" t="n">
        <v>17703103.31</v>
      </c>
      <c r="E4" s="7" t="n">
        <v>9888</v>
      </c>
      <c r="F4" s="8" t="n">
        <v>1790.36238976537</v>
      </c>
      <c r="G4" s="9" t="n">
        <v>6.92770022845785</v>
      </c>
      <c r="H4" s="9" t="n">
        <v>4.29996825423825</v>
      </c>
      <c r="I4" s="9" t="n">
        <v>1.69215133648791</v>
      </c>
      <c r="J4" s="9" t="n">
        <v>59.1878951961107</v>
      </c>
      <c r="K4" s="10" t="n">
        <v>29.7904540857605</v>
      </c>
      <c r="L4" s="9" t="n">
        <v>41.2163858768274</v>
      </c>
      <c r="M4" s="10" t="n">
        <v>36.9996867391043</v>
      </c>
    </row>
    <row r="5" customFormat="false" ht="15" hidden="false" customHeight="false" outlineLevel="0" collapsed="false">
      <c r="A5" s="7" t="n">
        <v>1</v>
      </c>
      <c r="B5" s="7" t="s">
        <v>26</v>
      </c>
      <c r="C5" s="7" t="s">
        <v>27</v>
      </c>
      <c r="D5" s="8" t="n">
        <v>21455028.86</v>
      </c>
      <c r="E5" s="7" t="n">
        <v>11995</v>
      </c>
      <c r="F5" s="8" t="n">
        <v>1788.66434847853</v>
      </c>
      <c r="G5" s="9" t="n">
        <v>6.97692913661269</v>
      </c>
      <c r="H5" s="9" t="n">
        <v>4.33121369119892</v>
      </c>
      <c r="I5" s="9" t="n">
        <v>1.72572172573624</v>
      </c>
      <c r="J5" s="9" t="n">
        <v>59.2901817821186</v>
      </c>
      <c r="K5" s="10" t="n">
        <v>29.0580708628595</v>
      </c>
      <c r="L5" s="9" t="n">
        <v>42.486177031677</v>
      </c>
      <c r="M5" s="10" t="n">
        <v>38.6164421339772</v>
      </c>
    </row>
    <row r="6" customFormat="false" ht="15" hidden="false" customHeight="false" outlineLevel="0" collapsed="false">
      <c r="A6" s="7" t="n">
        <v>2</v>
      </c>
      <c r="B6" s="7" t="s">
        <v>28</v>
      </c>
      <c r="C6" s="7" t="s">
        <v>29</v>
      </c>
      <c r="D6" s="8" t="n">
        <v>24720520.42</v>
      </c>
      <c r="E6" s="7" t="n">
        <v>13773</v>
      </c>
      <c r="F6" s="8" t="n">
        <v>1794.85372976113</v>
      </c>
      <c r="G6" s="9" t="n">
        <v>6.69649887337202</v>
      </c>
      <c r="H6" s="9" t="n">
        <v>4.14477710162625</v>
      </c>
      <c r="I6" s="9" t="n">
        <v>1.6607730943797</v>
      </c>
      <c r="J6" s="9" t="n">
        <v>60.9031265182564</v>
      </c>
      <c r="K6" s="10" t="n">
        <v>27.6993843026211</v>
      </c>
      <c r="L6" s="9" t="n">
        <v>43.6030182891959</v>
      </c>
      <c r="M6" s="10" t="n">
        <v>39.4117554803484</v>
      </c>
    </row>
    <row r="7" customFormat="false" ht="15" hidden="false" customHeight="false" outlineLevel="0" collapsed="false">
      <c r="A7" s="7" t="n">
        <v>3</v>
      </c>
      <c r="B7" s="7" t="s">
        <v>30</v>
      </c>
      <c r="C7" s="7" t="s">
        <v>31</v>
      </c>
      <c r="D7" s="8" t="n">
        <v>27830072.14</v>
      </c>
      <c r="E7" s="7" t="n">
        <v>15575</v>
      </c>
      <c r="F7" s="8" t="n">
        <v>1786.84251300161</v>
      </c>
      <c r="G7" s="9" t="n">
        <v>6.50620678182691</v>
      </c>
      <c r="H7" s="9" t="n">
        <v>4.02261682669142</v>
      </c>
      <c r="I7" s="9" t="n">
        <v>1.59386267523703</v>
      </c>
      <c r="J7" s="9" t="n">
        <v>61.3757682395214</v>
      </c>
      <c r="K7" s="10" t="n">
        <v>26.6453772070626</v>
      </c>
      <c r="L7" s="9" t="n">
        <v>44.7668974929362</v>
      </c>
      <c r="M7" s="10" t="n">
        <v>41.5544215053192</v>
      </c>
    </row>
    <row r="8" customFormat="false" ht="15" hidden="false" customHeight="false" outlineLevel="0" collapsed="false">
      <c r="A8" s="7" t="n">
        <v>4</v>
      </c>
      <c r="B8" s="7" t="s">
        <v>32</v>
      </c>
      <c r="C8" s="7" t="s">
        <v>33</v>
      </c>
      <c r="D8" s="8" t="n">
        <v>30213112.82</v>
      </c>
      <c r="E8" s="7" t="n">
        <v>16778</v>
      </c>
      <c r="F8" s="8" t="n">
        <v>1800.75770771248</v>
      </c>
      <c r="G8" s="9" t="n">
        <v>6.56243904740763</v>
      </c>
      <c r="H8" s="9" t="n">
        <v>4.06960289502206</v>
      </c>
      <c r="I8" s="9" t="n">
        <v>1.62130474452053</v>
      </c>
      <c r="J8" s="9" t="n">
        <v>61.9088672566808</v>
      </c>
      <c r="K8" s="10" t="n">
        <v>25.6113213732268</v>
      </c>
      <c r="L8" s="9" t="n">
        <v>46.376495456677</v>
      </c>
      <c r="M8" s="10" t="n">
        <v>42.1222296585592</v>
      </c>
    </row>
    <row r="9" customFormat="false" ht="15" hidden="false" customHeight="false" outlineLevel="0" collapsed="false">
      <c r="A9" s="7" t="n">
        <v>5</v>
      </c>
      <c r="B9" s="7" t="s">
        <v>34</v>
      </c>
      <c r="C9" s="7" t="s">
        <v>35</v>
      </c>
      <c r="D9" s="8" t="n">
        <v>32152387.11</v>
      </c>
      <c r="E9" s="7" t="n">
        <v>17571</v>
      </c>
      <c r="F9" s="8" t="n">
        <v>1829.85527915315</v>
      </c>
      <c r="G9" s="9" t="n">
        <v>6.12811126788838</v>
      </c>
      <c r="H9" s="9" t="n">
        <v>3.81082766593687</v>
      </c>
      <c r="I9" s="9" t="n">
        <v>1.55199380883232</v>
      </c>
      <c r="J9" s="9" t="n">
        <v>62.8005539349828</v>
      </c>
      <c r="K9" s="10" t="n">
        <v>24.2185606966024</v>
      </c>
      <c r="L9" s="9" t="n">
        <v>47.7991086827021</v>
      </c>
      <c r="M9" s="10" t="n">
        <v>43.5259783369161</v>
      </c>
    </row>
    <row r="10" customFormat="false" ht="15" hidden="false" customHeight="false" outlineLevel="0" collapsed="false">
      <c r="A10" s="7" t="n">
        <v>6</v>
      </c>
      <c r="B10" s="7" t="s">
        <v>36</v>
      </c>
      <c r="C10" s="7" t="s">
        <v>37</v>
      </c>
      <c r="D10" s="8" t="n">
        <v>33573036.88</v>
      </c>
      <c r="E10" s="7" t="n">
        <v>18210</v>
      </c>
      <c r="F10" s="8" t="n">
        <v>1843.65935639758</v>
      </c>
      <c r="G10" s="9" t="n">
        <v>6.56972546773672</v>
      </c>
      <c r="H10" s="9" t="n">
        <v>4.04425591232663</v>
      </c>
      <c r="I10" s="9" t="n">
        <v>1.65957888491439</v>
      </c>
      <c r="J10" s="9" t="n">
        <v>63.1954621464527</v>
      </c>
      <c r="K10" s="10" t="n">
        <v>23.3696600768808</v>
      </c>
      <c r="L10" s="9" t="n">
        <v>49.029648600812</v>
      </c>
      <c r="M10" s="10" t="n">
        <v>44.5768318176345</v>
      </c>
    </row>
    <row r="11" customFormat="false" ht="15" hidden="false" customHeight="false" outlineLevel="0" collapsed="false">
      <c r="A11" s="7" t="n">
        <v>7</v>
      </c>
      <c r="B11" s="7" t="s">
        <v>38</v>
      </c>
      <c r="C11" s="7" t="s">
        <v>39</v>
      </c>
      <c r="D11" s="8" t="n">
        <v>35314188.9</v>
      </c>
      <c r="E11" s="7" t="n">
        <v>19131</v>
      </c>
      <c r="F11" s="8" t="n">
        <v>1845.91442684648</v>
      </c>
      <c r="G11" s="9" t="n">
        <v>6.64799871604583</v>
      </c>
      <c r="H11" s="9" t="n">
        <v>4.1264434647372</v>
      </c>
      <c r="I11" s="9" t="n">
        <v>1.67756978645204</v>
      </c>
      <c r="J11" s="9" t="n">
        <v>64.3772214494384</v>
      </c>
      <c r="K11" s="10" t="n">
        <v>22.1204437823428</v>
      </c>
      <c r="L11" s="9" t="n">
        <v>50.1909955746768</v>
      </c>
      <c r="M11" s="10" t="n">
        <v>45.6544894730968</v>
      </c>
    </row>
    <row r="12" customFormat="false" ht="15" hidden="false" customHeight="false" outlineLevel="0" collapsed="false">
      <c r="A12" s="7" t="n">
        <v>8</v>
      </c>
      <c r="B12" s="7" t="s">
        <v>40</v>
      </c>
      <c r="C12" s="7" t="s">
        <v>41</v>
      </c>
      <c r="D12" s="8" t="n">
        <v>36958724.01</v>
      </c>
      <c r="E12" s="7" t="n">
        <v>19810</v>
      </c>
      <c r="F12" s="8" t="n">
        <v>1865.65997021706</v>
      </c>
      <c r="G12" s="9" t="n">
        <v>6.02435815641677</v>
      </c>
      <c r="H12" s="9" t="n">
        <v>3.73228318555525</v>
      </c>
      <c r="I12" s="9" t="n">
        <v>1.50678458454172</v>
      </c>
      <c r="J12" s="9" t="n">
        <v>64.2300361316072</v>
      </c>
      <c r="K12" s="10" t="n">
        <v>21.0793422513882</v>
      </c>
      <c r="L12" s="9" t="n">
        <v>51.4179324058515</v>
      </c>
      <c r="M12" s="10" t="n">
        <v>46.6771638014134</v>
      </c>
    </row>
    <row r="13" customFormat="false" ht="15" hidden="false" customHeight="false" outlineLevel="0" collapsed="false">
      <c r="A13" s="7" t="n">
        <v>9</v>
      </c>
      <c r="B13" s="7" t="s">
        <v>42</v>
      </c>
      <c r="C13" s="7" t="s">
        <v>43</v>
      </c>
      <c r="D13" s="8" t="n">
        <v>40046483.13</v>
      </c>
      <c r="E13" s="7" t="n">
        <v>21583</v>
      </c>
      <c r="F13" s="8" t="n">
        <v>1855.46416763193</v>
      </c>
      <c r="G13" s="9" t="n">
        <v>5.93116421326059</v>
      </c>
      <c r="H13" s="9" t="n">
        <v>3.68095079232242</v>
      </c>
      <c r="I13" s="9" t="n">
        <v>1.4760158009186</v>
      </c>
      <c r="J13" s="9" t="n">
        <v>65.0939950347395</v>
      </c>
      <c r="K13" s="10" t="n">
        <v>19.9232094704165</v>
      </c>
      <c r="L13" s="9" t="n">
        <v>52.8421445781948</v>
      </c>
      <c r="M13" s="10" t="n">
        <v>47.4745021627071</v>
      </c>
    </row>
    <row r="14" customFormat="false" ht="15" hidden="false" customHeight="false" outlineLevel="0" collapsed="false">
      <c r="A14" s="7" t="n">
        <v>10</v>
      </c>
      <c r="B14" s="7" t="s">
        <v>44</v>
      </c>
      <c r="C14" s="7" t="s">
        <v>45</v>
      </c>
      <c r="D14" s="8" t="n">
        <v>43322705.51</v>
      </c>
      <c r="E14" s="7" t="n">
        <v>23216</v>
      </c>
      <c r="F14" s="8" t="n">
        <v>1866.07105056857</v>
      </c>
      <c r="G14" s="9" t="n">
        <v>6.19772844885282</v>
      </c>
      <c r="H14" s="9" t="n">
        <v>3.7978534706869</v>
      </c>
      <c r="I14" s="9" t="n">
        <v>1.53086474211523</v>
      </c>
      <c r="J14" s="9" t="n">
        <v>66.0390507625894</v>
      </c>
      <c r="K14" s="10" t="n">
        <v>18.6069964679531</v>
      </c>
      <c r="L14" s="9" t="n">
        <v>53.9696312522934</v>
      </c>
      <c r="M14" s="10" t="n">
        <v>48.4714962467034</v>
      </c>
    </row>
    <row r="15" customFormat="false" ht="15" hidden="false" customHeight="false" outlineLevel="0" collapsed="false">
      <c r="A15" s="7" t="n">
        <v>11</v>
      </c>
      <c r="B15" s="7" t="s">
        <v>46</v>
      </c>
      <c r="C15" s="7" t="s">
        <v>47</v>
      </c>
      <c r="D15" s="8" t="n">
        <v>47341611.35</v>
      </c>
      <c r="E15" s="7" t="n">
        <v>25084</v>
      </c>
      <c r="F15" s="8" t="n">
        <v>1887.32304855685</v>
      </c>
      <c r="G15" s="9" t="n">
        <v>6.01321828139464</v>
      </c>
      <c r="H15" s="9" t="n">
        <v>3.68493410265808</v>
      </c>
      <c r="I15" s="9" t="n">
        <v>1.45497753437368</v>
      </c>
      <c r="J15" s="9" t="n">
        <v>67.242593773524</v>
      </c>
      <c r="K15" s="10" t="n">
        <v>17.7931322755541</v>
      </c>
      <c r="L15" s="9" t="n">
        <v>55.0730254008813</v>
      </c>
      <c r="M15" s="10" t="n">
        <v>49.4211170722857</v>
      </c>
    </row>
    <row r="16" customFormat="false" ht="15" hidden="false" customHeight="false" outlineLevel="0" collapsed="false">
      <c r="A16" s="7" t="n">
        <v>12</v>
      </c>
      <c r="B16" s="7" t="s">
        <v>48</v>
      </c>
      <c r="C16" s="7" t="s">
        <v>49</v>
      </c>
      <c r="D16" s="8" t="n">
        <v>50985070.5</v>
      </c>
      <c r="E16" s="7" t="n">
        <v>26616</v>
      </c>
      <c r="F16" s="8" t="n">
        <v>1915.57974526601</v>
      </c>
      <c r="G16" s="9" t="n">
        <v>5.93394291359664</v>
      </c>
      <c r="H16" s="9" t="n">
        <v>3.63650544232355</v>
      </c>
      <c r="I16" s="9" t="n">
        <v>1.44682776092268</v>
      </c>
      <c r="J16" s="9" t="n">
        <v>67.3874001718601</v>
      </c>
      <c r="K16" s="10" t="n">
        <v>16.7865257739706</v>
      </c>
      <c r="L16" s="9" t="n">
        <v>56.5227422904868</v>
      </c>
      <c r="M16" s="10" t="n">
        <v>50.7861483070226</v>
      </c>
    </row>
    <row r="17" customFormat="false" ht="15" hidden="false" customHeight="false" outlineLevel="0" collapsed="false">
      <c r="A17" s="7" t="n">
        <v>13</v>
      </c>
      <c r="B17" s="7" t="s">
        <v>50</v>
      </c>
      <c r="C17" s="7" t="s">
        <v>51</v>
      </c>
      <c r="D17" s="8" t="n">
        <v>55607069.34</v>
      </c>
      <c r="E17" s="7" t="n">
        <v>29361</v>
      </c>
      <c r="F17" s="8" t="n">
        <v>1893.90924491673</v>
      </c>
      <c r="G17" s="9" t="n">
        <v>5.48855275530332</v>
      </c>
      <c r="H17" s="9" t="n">
        <v>3.38756110098033</v>
      </c>
      <c r="I17" s="9" t="n">
        <v>1.35098236363377</v>
      </c>
      <c r="J17" s="9" t="n">
        <v>68.0646335678423</v>
      </c>
      <c r="K17" s="10" t="n">
        <v>15.8019866489561</v>
      </c>
      <c r="L17" s="9" t="n">
        <v>57.6720190651806</v>
      </c>
      <c r="M17" s="10" t="n">
        <v>52.0091507831835</v>
      </c>
    </row>
    <row r="18" customFormat="false" ht="15" hidden="false" customHeight="false" outlineLevel="0" collapsed="false">
      <c r="A18" s="7" t="n">
        <v>14</v>
      </c>
      <c r="B18" s="7" t="s">
        <v>52</v>
      </c>
      <c r="C18" s="7" t="s">
        <v>53</v>
      </c>
      <c r="D18" s="8" t="n">
        <v>59116556.22</v>
      </c>
      <c r="E18" s="7" t="n">
        <v>30937</v>
      </c>
      <c r="F18" s="8" t="n">
        <v>1910.86906358083</v>
      </c>
      <c r="G18" s="9" t="n">
        <v>5.54227747660062</v>
      </c>
      <c r="H18" s="9" t="n">
        <v>3.4317180869099</v>
      </c>
      <c r="I18" s="9" t="n">
        <v>1.37703937637794</v>
      </c>
      <c r="J18" s="9" t="n">
        <v>68.847396680525</v>
      </c>
      <c r="K18" s="10" t="n">
        <v>14.323709150855</v>
      </c>
      <c r="L18" s="9" t="n">
        <v>59.1029313310125</v>
      </c>
      <c r="M18" s="10" t="n">
        <v>52.7025838963189</v>
      </c>
    </row>
    <row r="19" customFormat="false" ht="15" hidden="false" customHeight="false" outlineLevel="0" collapsed="false">
      <c r="A19" s="7" t="n">
        <v>15</v>
      </c>
      <c r="B19" s="7" t="s">
        <v>54</v>
      </c>
      <c r="C19" s="7" t="s">
        <v>55</v>
      </c>
      <c r="D19" s="8" t="n">
        <v>60954439.69</v>
      </c>
      <c r="E19" s="7" t="n">
        <v>31916</v>
      </c>
      <c r="F19" s="8" t="n">
        <v>1909.8395691816</v>
      </c>
      <c r="G19" s="9" t="n">
        <v>5.71933290246114</v>
      </c>
      <c r="H19" s="9" t="n">
        <v>3.51885203331282</v>
      </c>
      <c r="I19" s="9" t="n">
        <v>1.37913843372579</v>
      </c>
      <c r="J19" s="9" t="n">
        <v>69.7174510293674</v>
      </c>
      <c r="K19" s="10" t="n">
        <v>13.2407526005765</v>
      </c>
      <c r="L19" s="9" t="n">
        <v>60.3996961481691</v>
      </c>
      <c r="M19" s="10" t="n">
        <v>54.8477581575322</v>
      </c>
    </row>
    <row r="20" customFormat="false" ht="15" hidden="false" customHeight="false" outlineLevel="0" collapsed="false">
      <c r="A20" s="7" t="n">
        <v>16</v>
      </c>
      <c r="B20" s="7" t="s">
        <v>56</v>
      </c>
      <c r="C20" s="7" t="s">
        <v>57</v>
      </c>
      <c r="D20" s="8" t="n">
        <v>62826783.02</v>
      </c>
      <c r="E20" s="7" t="n">
        <v>32618</v>
      </c>
      <c r="F20" s="8" t="n">
        <v>1926.13842111717</v>
      </c>
      <c r="G20" s="9" t="n">
        <v>5.06033703726631</v>
      </c>
      <c r="H20" s="9" t="n">
        <v>3.12596203446038</v>
      </c>
      <c r="I20" s="9" t="n">
        <v>1.23973191526463</v>
      </c>
      <c r="J20" s="9" t="n">
        <v>69.7786638474507</v>
      </c>
      <c r="K20" s="10" t="n">
        <v>11.9790259979153</v>
      </c>
      <c r="L20" s="9" t="n">
        <v>61.8353445508549</v>
      </c>
      <c r="M20" s="10" t="n">
        <v>55.3970447860439</v>
      </c>
    </row>
    <row r="21" customFormat="false" ht="15" hidden="false" customHeight="false" outlineLevel="0" collapsed="false">
      <c r="A21" s="7" t="n">
        <v>17</v>
      </c>
      <c r="B21" s="7" t="s">
        <v>58</v>
      </c>
      <c r="C21" s="7" t="s">
        <v>59</v>
      </c>
      <c r="D21" s="8" t="n">
        <v>63744343.63</v>
      </c>
      <c r="E21" s="7" t="n">
        <v>32883</v>
      </c>
      <c r="F21" s="8" t="n">
        <v>1938.51971018459</v>
      </c>
      <c r="G21" s="9" t="n">
        <v>5.14536640673384</v>
      </c>
      <c r="H21" s="9" t="n">
        <v>3.18590489846417</v>
      </c>
      <c r="I21" s="9" t="n">
        <v>1.26999391427885</v>
      </c>
      <c r="J21" s="9" t="n">
        <v>70.7936693768557</v>
      </c>
      <c r="K21" s="10" t="n">
        <v>10.9834464616975</v>
      </c>
      <c r="L21" s="9" t="n">
        <v>62.8623883155262</v>
      </c>
      <c r="M21" s="10" t="n">
        <v>56.6411463749666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20"/>
  </cols>
  <sheetData>
    <row r="1" customFormat="false" ht="17.35" hidden="false" customHeight="false" outlineLevel="0" collapsed="false">
      <c r="A1" s="5" t="s">
        <v>60</v>
      </c>
    </row>
    <row r="3" customFormat="false" ht="15" hidden="false" customHeight="false" outlineLevel="0" collapsed="false">
      <c r="A3" s="6" t="s">
        <v>61</v>
      </c>
      <c r="B3" s="6" t="s">
        <v>62</v>
      </c>
      <c r="C3" s="6" t="s">
        <v>63</v>
      </c>
      <c r="D3" s="6" t="s">
        <v>18</v>
      </c>
      <c r="E3" s="6" t="s">
        <v>16</v>
      </c>
    </row>
    <row r="4" customFormat="false" ht="15" hidden="false" customHeight="false" outlineLevel="0" collapsed="false">
      <c r="A4" s="7" t="s">
        <v>64</v>
      </c>
      <c r="B4" s="8" t="n">
        <v>14130857.8818889</v>
      </c>
      <c r="C4" s="11" t="n">
        <v>4487</v>
      </c>
      <c r="D4" s="9" t="n">
        <v>3.91173996536484</v>
      </c>
      <c r="E4" s="11" t="n">
        <v>1889.4678765688</v>
      </c>
    </row>
    <row r="5" customFormat="false" ht="15" hidden="false" customHeight="false" outlineLevel="0" collapsed="false">
      <c r="A5" s="7" t="s">
        <v>65</v>
      </c>
      <c r="B5" s="8" t="n">
        <v>24542107.5986111</v>
      </c>
      <c r="C5" s="11" t="n">
        <v>7832</v>
      </c>
      <c r="D5" s="9" t="n">
        <v>4.19367421190105</v>
      </c>
      <c r="E5" s="11" t="n">
        <v>1879.95620440364</v>
      </c>
    </row>
    <row r="6" customFormat="false" ht="15" hidden="false" customHeight="false" outlineLevel="0" collapsed="false">
      <c r="A6" s="7" t="s">
        <v>66</v>
      </c>
      <c r="B6" s="8" t="n">
        <v>8992086.69783334</v>
      </c>
      <c r="C6" s="11" t="n">
        <v>2868</v>
      </c>
      <c r="D6" s="9" t="n">
        <v>4.40375465497388</v>
      </c>
      <c r="E6" s="11" t="n">
        <v>1881.0432074792</v>
      </c>
    </row>
    <row r="7" customFormat="false" ht="15" hidden="false" customHeight="false" outlineLevel="0" collapsed="false">
      <c r="A7" s="7" t="s">
        <v>67</v>
      </c>
      <c r="B7" s="8" t="n">
        <v>53676645.7998889</v>
      </c>
      <c r="C7" s="11" t="n">
        <v>17272</v>
      </c>
      <c r="D7" s="9" t="n">
        <v>3.35101574499917</v>
      </c>
      <c r="E7" s="11" t="n">
        <v>1864.57306782967</v>
      </c>
    </row>
    <row r="8" customFormat="false" ht="15" hidden="false" customHeight="false" outlineLevel="0" collapsed="false">
      <c r="A8" s="7" t="s">
        <v>68</v>
      </c>
      <c r="B8" s="8" t="n">
        <v>26768426.1442222</v>
      </c>
      <c r="C8" s="11" t="n">
        <v>8556</v>
      </c>
      <c r="D8" s="9" t="n">
        <v>3.42587933711635</v>
      </c>
      <c r="E8" s="11" t="n">
        <v>1876.98738237851</v>
      </c>
    </row>
    <row r="10" customFormat="false" ht="15" hidden="false" customHeight="false" outlineLevel="0" collapsed="false">
      <c r="A10" s="4" t="s">
        <v>69</v>
      </c>
    </row>
    <row r="11" customFormat="false" ht="15" hidden="false" customHeight="false" outlineLevel="0" collapsed="false">
      <c r="A11" s="12" t="n">
        <f aca="false">B4/SUM(B4:B8)</f>
        <v>0.110302429091263</v>
      </c>
    </row>
    <row r="12" customFormat="false" ht="15" hidden="false" customHeight="false" outlineLevel="0" collapsed="false">
      <c r="A12" s="12" t="n">
        <f aca="false">B5/SUM(B4:B8)</f>
        <v>0.191570399035399</v>
      </c>
    </row>
    <row r="13" customFormat="false" ht="15" hidden="false" customHeight="false" outlineLevel="0" collapsed="false">
      <c r="A13" s="12" t="n">
        <f aca="false">B6/SUM(B4:B8)</f>
        <v>0.0701902894828119</v>
      </c>
    </row>
    <row r="14" customFormat="false" ht="15" hidden="false" customHeight="false" outlineLevel="0" collapsed="false">
      <c r="A14" s="12" t="n">
        <f aca="false">B7/SUM(B4:B8)</f>
        <v>0.418988320927596</v>
      </c>
    </row>
    <row r="15" customFormat="false" ht="15" hidden="false" customHeight="false" outlineLevel="0" collapsed="false">
      <c r="A15" s="12" t="n">
        <f aca="false">B8/SUM(B4:B8)</f>
        <v>0.20894856146293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24"/>
  </cols>
  <sheetData>
    <row r="1" customFormat="false" ht="17.35" hidden="false" customHeight="false" outlineLevel="0" collapsed="false">
      <c r="A1" s="5" t="s">
        <v>70</v>
      </c>
    </row>
    <row r="3" customFormat="false" ht="15" hidden="false" customHeight="false" outlineLevel="0" collapsed="false">
      <c r="A3" s="6" t="s">
        <v>71</v>
      </c>
      <c r="B3" s="6" t="s">
        <v>62</v>
      </c>
      <c r="C3" s="6" t="s">
        <v>63</v>
      </c>
      <c r="D3" s="6" t="s">
        <v>18</v>
      </c>
      <c r="E3" s="6" t="s">
        <v>16</v>
      </c>
    </row>
    <row r="4" customFormat="false" ht="15" hidden="false" customHeight="false" outlineLevel="0" collapsed="false">
      <c r="A4" s="7" t="s">
        <v>72</v>
      </c>
      <c r="B4" s="8" t="n">
        <v>42221602.3974445</v>
      </c>
      <c r="C4" s="11" t="n">
        <v>9837</v>
      </c>
      <c r="D4" s="9" t="n">
        <v>3.50195118703348</v>
      </c>
      <c r="E4" s="11" t="n">
        <v>2575.23993508267</v>
      </c>
    </row>
    <row r="5" customFormat="false" ht="15" hidden="false" customHeight="false" outlineLevel="0" collapsed="false">
      <c r="A5" s="7" t="s">
        <v>73</v>
      </c>
      <c r="B5" s="8" t="n">
        <v>60254065.2043889</v>
      </c>
      <c r="C5" s="11" t="n">
        <v>28271</v>
      </c>
      <c r="D5" s="9" t="n">
        <v>4.2027556560426</v>
      </c>
      <c r="E5" s="11" t="n">
        <v>1278.75989725689</v>
      </c>
    </row>
    <row r="6" customFormat="false" ht="15" hidden="false" customHeight="false" outlineLevel="0" collapsed="false">
      <c r="A6" s="7" t="s">
        <v>74</v>
      </c>
      <c r="B6" s="8" t="n">
        <v>25634456.5206111</v>
      </c>
      <c r="C6" s="11" t="n">
        <v>2909</v>
      </c>
      <c r="D6" s="9" t="n">
        <v>2.66369478593698</v>
      </c>
      <c r="E6" s="11" t="n">
        <v>5287.19918336175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20"/>
  </cols>
  <sheetData>
    <row r="1" customFormat="false" ht="17.35" hidden="false" customHeight="false" outlineLevel="0" collapsed="false">
      <c r="A1" s="5" t="s">
        <v>75</v>
      </c>
    </row>
    <row r="3" customFormat="false" ht="15" hidden="false" customHeight="false" outlineLevel="0" collapsed="false">
      <c r="A3" s="6" t="s">
        <v>76</v>
      </c>
      <c r="B3" s="6" t="s">
        <v>62</v>
      </c>
      <c r="C3" s="6" t="s">
        <v>63</v>
      </c>
    </row>
    <row r="4" customFormat="false" ht="15" hidden="false" customHeight="false" outlineLevel="0" collapsed="false">
      <c r="A4" s="7" t="s">
        <v>77</v>
      </c>
      <c r="B4" s="8" t="n">
        <v>23133305.9008889</v>
      </c>
      <c r="C4" s="11" t="n">
        <v>7424</v>
      </c>
    </row>
    <row r="5" customFormat="false" ht="15" hidden="false" customHeight="false" outlineLevel="0" collapsed="false">
      <c r="A5" s="7" t="s">
        <v>78</v>
      </c>
      <c r="B5" s="8" t="n">
        <v>16654999.6292222</v>
      </c>
      <c r="C5" s="11" t="n">
        <v>5324</v>
      </c>
    </row>
    <row r="6" customFormat="false" ht="15" hidden="false" customHeight="false" outlineLevel="0" collapsed="false">
      <c r="A6" s="7" t="s">
        <v>79</v>
      </c>
      <c r="B6" s="8" t="n">
        <v>12807562.3061667</v>
      </c>
      <c r="C6" s="11" t="n">
        <v>4086</v>
      </c>
    </row>
    <row r="7" customFormat="false" ht="15" hidden="false" customHeight="false" outlineLevel="0" collapsed="false">
      <c r="A7" s="7" t="s">
        <v>80</v>
      </c>
      <c r="B7" s="8" t="n">
        <v>30620623.2365556</v>
      </c>
      <c r="C7" s="11" t="n">
        <v>9787</v>
      </c>
    </row>
    <row r="8" customFormat="false" ht="15" hidden="false" customHeight="false" outlineLevel="0" collapsed="false">
      <c r="A8" s="7" t="s">
        <v>81</v>
      </c>
      <c r="B8" s="8" t="n">
        <v>7692240.62433333</v>
      </c>
      <c r="C8" s="11" t="n">
        <v>2437</v>
      </c>
    </row>
    <row r="9" customFormat="false" ht="15" hidden="false" customHeight="false" outlineLevel="0" collapsed="false">
      <c r="A9" s="7" t="s">
        <v>82</v>
      </c>
      <c r="B9" s="8" t="n">
        <v>37201392.4252778</v>
      </c>
      <c r="C9" s="11" t="n">
        <v>11957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6"/>
  </cols>
  <sheetData>
    <row r="1" customFormat="false" ht="17.35" hidden="false" customHeight="false" outlineLevel="0" collapsed="false">
      <c r="A1" s="5" t="s">
        <v>83</v>
      </c>
    </row>
    <row r="3" customFormat="false" ht="15" hidden="false" customHeight="false" outlineLevel="0" collapsed="false">
      <c r="A3" s="6" t="s">
        <v>84</v>
      </c>
      <c r="B3" s="6" t="s">
        <v>85</v>
      </c>
      <c r="C3" s="6" t="s">
        <v>86</v>
      </c>
      <c r="E3" s="13" t="s">
        <v>87</v>
      </c>
    </row>
    <row r="4" customFormat="false" ht="15" hidden="false" customHeight="false" outlineLevel="0" collapsed="false">
      <c r="A4" s="7" t="s">
        <v>88</v>
      </c>
      <c r="B4" s="7" t="n">
        <v>1</v>
      </c>
      <c r="C4" s="11" t="n">
        <v>9400</v>
      </c>
      <c r="E4" s="14" t="n">
        <f aca="false">C4/$C$4</f>
        <v>1</v>
      </c>
    </row>
    <row r="5" customFormat="false" ht="15" hidden="false" customHeight="false" outlineLevel="0" collapsed="false">
      <c r="A5" s="7" t="s">
        <v>89</v>
      </c>
      <c r="B5" s="7" t="n">
        <v>2</v>
      </c>
      <c r="C5" s="11" t="n">
        <v>8836</v>
      </c>
      <c r="E5" s="14" t="n">
        <f aca="false">C5/$C$4</f>
        <v>0.94</v>
      </c>
    </row>
    <row r="6" customFormat="false" ht="15" hidden="false" customHeight="false" outlineLevel="0" collapsed="false">
      <c r="A6" s="7" t="s">
        <v>90</v>
      </c>
      <c r="B6" s="7" t="n">
        <v>3</v>
      </c>
      <c r="C6" s="11" t="n">
        <v>7463</v>
      </c>
      <c r="E6" s="14" t="n">
        <f aca="false">C6/$C$4</f>
        <v>0.793936170212766</v>
      </c>
    </row>
    <row r="7" customFormat="false" ht="15" hidden="false" customHeight="false" outlineLevel="0" collapsed="false">
      <c r="A7" s="7" t="s">
        <v>91</v>
      </c>
      <c r="B7" s="7" t="n">
        <v>4</v>
      </c>
      <c r="C7" s="11" t="n">
        <v>6940</v>
      </c>
      <c r="E7" s="14" t="n">
        <f aca="false">C7/$C$4</f>
        <v>0.738297872340426</v>
      </c>
    </row>
    <row r="8" customFormat="false" ht="15" hidden="false" customHeight="false" outlineLevel="0" collapsed="false">
      <c r="A8" s="7" t="s">
        <v>92</v>
      </c>
      <c r="B8" s="7" t="n">
        <v>5</v>
      </c>
      <c r="C8" s="11" t="n">
        <v>1373</v>
      </c>
      <c r="E8" s="14" t="n">
        <f aca="false">C8/$C$4</f>
        <v>0.146063829787234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16"/>
  </cols>
  <sheetData>
    <row r="1" customFormat="false" ht="17.35" hidden="false" customHeight="false" outlineLevel="0" collapsed="false">
      <c r="A1" s="5" t="s">
        <v>93</v>
      </c>
    </row>
    <row r="3" customFormat="false" ht="15" hidden="false" customHeight="false" outlineLevel="0" collapsed="false">
      <c r="A3" s="6" t="s">
        <v>94</v>
      </c>
      <c r="B3" s="6" t="s">
        <v>85</v>
      </c>
      <c r="C3" s="6" t="s">
        <v>95</v>
      </c>
      <c r="D3" s="6" t="s">
        <v>96</v>
      </c>
    </row>
    <row r="4" customFormat="false" ht="15" hidden="false" customHeight="false" outlineLevel="0" collapsed="false">
      <c r="A4" s="7" t="s">
        <v>97</v>
      </c>
      <c r="B4" s="7" t="n">
        <v>1</v>
      </c>
      <c r="C4" s="8" t="n">
        <v>47589714.17</v>
      </c>
      <c r="D4" s="15" t="n">
        <v>88.66</v>
      </c>
    </row>
    <row r="5" customFormat="false" ht="15" hidden="false" customHeight="false" outlineLevel="0" collapsed="false">
      <c r="A5" s="7" t="s">
        <v>98</v>
      </c>
      <c r="B5" s="7" t="n">
        <v>2</v>
      </c>
      <c r="C5" s="8" t="n">
        <v>2512067.02</v>
      </c>
      <c r="D5" s="15" t="n">
        <v>4.68</v>
      </c>
    </row>
    <row r="6" customFormat="false" ht="15" hidden="false" customHeight="false" outlineLevel="0" collapsed="false">
      <c r="A6" s="7" t="s">
        <v>99</v>
      </c>
      <c r="B6" s="7" t="n">
        <v>3</v>
      </c>
      <c r="C6" s="8" t="n">
        <v>1642505.36</v>
      </c>
      <c r="D6" s="15" t="n">
        <v>3.06</v>
      </c>
    </row>
    <row r="7" customFormat="false" ht="15" hidden="false" customHeight="false" outlineLevel="0" collapsed="false">
      <c r="A7" s="7" t="s">
        <v>100</v>
      </c>
      <c r="B7" s="7" t="n">
        <v>4</v>
      </c>
      <c r="C7" s="8" t="n">
        <v>1014488.61</v>
      </c>
      <c r="D7" s="15" t="n">
        <v>1.89</v>
      </c>
    </row>
    <row r="8" customFormat="false" ht="15" hidden="false" customHeight="false" outlineLevel="0" collapsed="false">
      <c r="A8" s="7" t="s">
        <v>101</v>
      </c>
      <c r="B8" s="7" t="n">
        <v>5</v>
      </c>
      <c r="C8" s="8" t="n">
        <v>917870.64</v>
      </c>
      <c r="D8" s="15" t="n">
        <v>1.71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20"/>
  </cols>
  <sheetData>
    <row r="1" customFormat="false" ht="17.35" hidden="false" customHeight="false" outlineLevel="0" collapsed="false">
      <c r="A1" s="5" t="s">
        <v>102</v>
      </c>
    </row>
    <row r="3" customFormat="false" ht="15" hidden="false" customHeight="false" outlineLevel="0" collapsed="false">
      <c r="A3" s="6" t="s">
        <v>103</v>
      </c>
      <c r="B3" s="6" t="s">
        <v>104</v>
      </c>
      <c r="C3" s="6" t="s">
        <v>61</v>
      </c>
      <c r="D3" s="6" t="s">
        <v>105</v>
      </c>
      <c r="E3" s="6" t="s">
        <v>106</v>
      </c>
      <c r="F3" s="6" t="s">
        <v>107</v>
      </c>
    </row>
    <row r="4" customFormat="false" ht="15" hidden="false" customHeight="false" outlineLevel="0" collapsed="false">
      <c r="A4" s="7" t="s">
        <v>108</v>
      </c>
      <c r="B4" s="7" t="s">
        <v>109</v>
      </c>
      <c r="C4" s="7" t="s">
        <v>67</v>
      </c>
      <c r="D4" s="7" t="n">
        <v>4</v>
      </c>
      <c r="E4" s="10" t="n">
        <v>7.9</v>
      </c>
      <c r="F4" s="7" t="n">
        <v>25</v>
      </c>
    </row>
    <row r="5" customFormat="false" ht="15" hidden="false" customHeight="false" outlineLevel="0" collapsed="false">
      <c r="A5" s="7" t="s">
        <v>108</v>
      </c>
      <c r="B5" s="7" t="s">
        <v>110</v>
      </c>
      <c r="C5" s="7" t="s">
        <v>67</v>
      </c>
      <c r="D5" s="7" t="n">
        <v>24</v>
      </c>
      <c r="E5" s="10" t="n">
        <v>10.9</v>
      </c>
      <c r="F5" s="7" t="n">
        <v>39</v>
      </c>
    </row>
    <row r="6" customFormat="false" ht="15" hidden="false" customHeight="false" outlineLevel="0" collapsed="false">
      <c r="A6" s="7" t="s">
        <v>108</v>
      </c>
      <c r="B6" s="7" t="s">
        <v>111</v>
      </c>
      <c r="C6" s="7" t="s">
        <v>68</v>
      </c>
      <c r="D6" s="7" t="n">
        <v>9</v>
      </c>
      <c r="E6" s="10" t="n">
        <v>7.6</v>
      </c>
      <c r="F6" s="7" t="n">
        <v>13</v>
      </c>
    </row>
    <row r="7" customFormat="false" ht="15" hidden="false" customHeight="false" outlineLevel="0" collapsed="false">
      <c r="A7" s="7" t="s">
        <v>108</v>
      </c>
      <c r="B7" s="7" t="s">
        <v>112</v>
      </c>
      <c r="C7" s="7" t="s">
        <v>65</v>
      </c>
      <c r="D7" s="7" t="n">
        <v>26</v>
      </c>
      <c r="E7" s="10" t="n">
        <v>11.6</v>
      </c>
      <c r="F7" s="7" t="n">
        <v>35</v>
      </c>
    </row>
    <row r="8" customFormat="false" ht="15" hidden="false" customHeight="false" outlineLevel="0" collapsed="false">
      <c r="A8" s="7" t="s">
        <v>108</v>
      </c>
      <c r="B8" s="7" t="s">
        <v>113</v>
      </c>
      <c r="C8" s="7" t="s">
        <v>64</v>
      </c>
      <c r="D8" s="7" t="n">
        <v>7</v>
      </c>
      <c r="E8" s="10" t="n">
        <v>11.3</v>
      </c>
      <c r="F8" s="7" t="n">
        <v>39</v>
      </c>
    </row>
    <row r="9" customFormat="false" ht="15" hidden="false" customHeight="false" outlineLevel="0" collapsed="false">
      <c r="A9" s="7" t="s">
        <v>108</v>
      </c>
      <c r="B9" s="7" t="s">
        <v>114</v>
      </c>
      <c r="C9" s="7" t="s">
        <v>66</v>
      </c>
      <c r="D9" s="7" t="n">
        <v>15</v>
      </c>
      <c r="E9" s="10" t="n">
        <v>14.5</v>
      </c>
      <c r="F9" s="7" t="n">
        <v>25</v>
      </c>
    </row>
    <row r="10" customFormat="false" ht="15" hidden="false" customHeight="false" outlineLevel="0" collapsed="false">
      <c r="A10" s="7" t="s">
        <v>115</v>
      </c>
      <c r="B10" s="7" t="s">
        <v>109</v>
      </c>
      <c r="C10" s="7" t="s">
        <v>67</v>
      </c>
      <c r="D10" s="7" t="n">
        <v>14</v>
      </c>
      <c r="E10" s="10" t="n">
        <v>13</v>
      </c>
      <c r="F10" s="7" t="n">
        <v>45</v>
      </c>
    </row>
    <row r="11" customFormat="false" ht="15" hidden="false" customHeight="false" outlineLevel="0" collapsed="false">
      <c r="A11" s="7" t="s">
        <v>115</v>
      </c>
      <c r="B11" s="7" t="s">
        <v>110</v>
      </c>
      <c r="C11" s="7" t="s">
        <v>67</v>
      </c>
      <c r="D11" s="7" t="n">
        <v>15</v>
      </c>
      <c r="E11" s="10" t="n">
        <v>10</v>
      </c>
      <c r="F11" s="7" t="n">
        <v>31</v>
      </c>
    </row>
    <row r="12" customFormat="false" ht="15" hidden="false" customHeight="false" outlineLevel="0" collapsed="false">
      <c r="A12" s="7" t="s">
        <v>115</v>
      </c>
      <c r="B12" s="7" t="s">
        <v>111</v>
      </c>
      <c r="C12" s="7" t="s">
        <v>68</v>
      </c>
      <c r="D12" s="7" t="n">
        <v>16</v>
      </c>
      <c r="E12" s="10" t="n">
        <v>9.5</v>
      </c>
      <c r="F12" s="7" t="n">
        <v>30</v>
      </c>
    </row>
    <row r="13" customFormat="false" ht="15" hidden="false" customHeight="false" outlineLevel="0" collapsed="false">
      <c r="A13" s="7" t="s">
        <v>115</v>
      </c>
      <c r="B13" s="7" t="s">
        <v>112</v>
      </c>
      <c r="C13" s="7" t="s">
        <v>65</v>
      </c>
      <c r="D13" s="7" t="n">
        <v>18</v>
      </c>
      <c r="E13" s="10" t="n">
        <v>7</v>
      </c>
      <c r="F13" s="7" t="n">
        <v>30</v>
      </c>
    </row>
    <row r="14" customFormat="false" ht="15" hidden="false" customHeight="false" outlineLevel="0" collapsed="false">
      <c r="A14" s="7" t="s">
        <v>115</v>
      </c>
      <c r="B14" s="7" t="s">
        <v>113</v>
      </c>
      <c r="C14" s="7" t="s">
        <v>64</v>
      </c>
      <c r="D14" s="7" t="n">
        <v>18</v>
      </c>
      <c r="E14" s="10" t="n">
        <v>14.4</v>
      </c>
      <c r="F14" s="7" t="n">
        <v>32</v>
      </c>
    </row>
    <row r="15" customFormat="false" ht="15" hidden="false" customHeight="false" outlineLevel="0" collapsed="false">
      <c r="A15" s="7" t="s">
        <v>115</v>
      </c>
      <c r="B15" s="7" t="s">
        <v>114</v>
      </c>
      <c r="C15" s="7" t="s">
        <v>66</v>
      </c>
      <c r="D15" s="7" t="n">
        <v>16</v>
      </c>
      <c r="E15" s="10" t="n">
        <v>14.3</v>
      </c>
      <c r="F15" s="7" t="n">
        <v>32</v>
      </c>
    </row>
    <row r="16" customFormat="false" ht="15" hidden="false" customHeight="false" outlineLevel="0" collapsed="false">
      <c r="A16" s="7" t="s">
        <v>116</v>
      </c>
      <c r="B16" s="7" t="s">
        <v>109</v>
      </c>
      <c r="C16" s="7" t="s">
        <v>67</v>
      </c>
      <c r="D16" s="7" t="n">
        <v>9</v>
      </c>
      <c r="E16" s="10" t="n">
        <v>11.6</v>
      </c>
      <c r="F16" s="7" t="n">
        <v>41</v>
      </c>
    </row>
    <row r="17" customFormat="false" ht="15" hidden="false" customHeight="false" outlineLevel="0" collapsed="false">
      <c r="A17" s="7" t="s">
        <v>116</v>
      </c>
      <c r="B17" s="7" t="s">
        <v>110</v>
      </c>
      <c r="C17" s="7" t="s">
        <v>67</v>
      </c>
      <c r="D17" s="7" t="n">
        <v>13</v>
      </c>
      <c r="E17" s="10" t="n">
        <v>13.7</v>
      </c>
      <c r="F17" s="7" t="n">
        <v>43</v>
      </c>
    </row>
    <row r="18" customFormat="false" ht="15" hidden="false" customHeight="false" outlineLevel="0" collapsed="false">
      <c r="A18" s="7" t="s">
        <v>116</v>
      </c>
      <c r="B18" s="7" t="s">
        <v>111</v>
      </c>
      <c r="C18" s="7" t="s">
        <v>68</v>
      </c>
      <c r="D18" s="7" t="n">
        <v>11</v>
      </c>
      <c r="E18" s="10" t="n">
        <v>11.1</v>
      </c>
      <c r="F18" s="7" t="n">
        <v>56</v>
      </c>
    </row>
    <row r="19" customFormat="false" ht="15" hidden="false" customHeight="false" outlineLevel="0" collapsed="false">
      <c r="A19" s="7" t="s">
        <v>116</v>
      </c>
      <c r="B19" s="7" t="s">
        <v>112</v>
      </c>
      <c r="C19" s="7" t="s">
        <v>65</v>
      </c>
      <c r="D19" s="7" t="n">
        <v>11</v>
      </c>
      <c r="E19" s="10" t="n">
        <v>11.1</v>
      </c>
      <c r="F19" s="7" t="n">
        <v>27</v>
      </c>
    </row>
    <row r="20" customFormat="false" ht="15" hidden="false" customHeight="false" outlineLevel="0" collapsed="false">
      <c r="A20" s="7" t="s">
        <v>116</v>
      </c>
      <c r="B20" s="7" t="s">
        <v>113</v>
      </c>
      <c r="C20" s="7" t="s">
        <v>64</v>
      </c>
      <c r="D20" s="7" t="n">
        <v>16</v>
      </c>
      <c r="E20" s="10" t="n">
        <v>7.7</v>
      </c>
      <c r="F20" s="7" t="n">
        <v>40</v>
      </c>
    </row>
    <row r="21" customFormat="false" ht="15" hidden="false" customHeight="false" outlineLevel="0" collapsed="false">
      <c r="A21" s="7" t="s">
        <v>116</v>
      </c>
      <c r="B21" s="7" t="s">
        <v>114</v>
      </c>
      <c r="C21" s="7" t="s">
        <v>66</v>
      </c>
      <c r="D21" s="7" t="n">
        <v>19</v>
      </c>
      <c r="E21" s="10" t="n">
        <v>10.3</v>
      </c>
      <c r="F21" s="7" t="n">
        <v>25</v>
      </c>
    </row>
    <row r="22" customFormat="false" ht="15" hidden="false" customHeight="false" outlineLevel="0" collapsed="false">
      <c r="A22" s="7" t="s">
        <v>117</v>
      </c>
      <c r="B22" s="7" t="s">
        <v>109</v>
      </c>
      <c r="C22" s="7" t="s">
        <v>67</v>
      </c>
      <c r="D22" s="7" t="n">
        <v>5</v>
      </c>
      <c r="E22" s="10" t="n">
        <v>10.4</v>
      </c>
      <c r="F22" s="7" t="n">
        <v>30</v>
      </c>
    </row>
    <row r="23" customFormat="false" ht="15" hidden="false" customHeight="false" outlineLevel="0" collapsed="false">
      <c r="A23" s="7" t="s">
        <v>117</v>
      </c>
      <c r="B23" s="7" t="s">
        <v>110</v>
      </c>
      <c r="C23" s="7" t="s">
        <v>67</v>
      </c>
      <c r="D23" s="7" t="n">
        <v>9</v>
      </c>
      <c r="E23" s="10" t="n">
        <v>9.1</v>
      </c>
      <c r="F23" s="7" t="n">
        <v>34</v>
      </c>
    </row>
    <row r="24" customFormat="false" ht="15" hidden="false" customHeight="false" outlineLevel="0" collapsed="false">
      <c r="A24" s="7" t="s">
        <v>117</v>
      </c>
      <c r="B24" s="7" t="s">
        <v>111</v>
      </c>
      <c r="C24" s="7" t="s">
        <v>68</v>
      </c>
      <c r="D24" s="7" t="n">
        <v>17</v>
      </c>
      <c r="E24" s="10" t="n">
        <v>15.4</v>
      </c>
      <c r="F24" s="7" t="n">
        <v>19</v>
      </c>
    </row>
    <row r="25" customFormat="false" ht="15" hidden="false" customHeight="false" outlineLevel="0" collapsed="false">
      <c r="A25" s="7" t="s">
        <v>117</v>
      </c>
      <c r="B25" s="7" t="s">
        <v>112</v>
      </c>
      <c r="C25" s="7" t="s">
        <v>65</v>
      </c>
      <c r="D25" s="7" t="n">
        <v>11</v>
      </c>
      <c r="E25" s="10" t="n">
        <v>12.6</v>
      </c>
      <c r="F25" s="7" t="n">
        <v>25</v>
      </c>
    </row>
    <row r="26" customFormat="false" ht="15" hidden="false" customHeight="false" outlineLevel="0" collapsed="false">
      <c r="A26" s="7" t="s">
        <v>117</v>
      </c>
      <c r="B26" s="7" t="s">
        <v>113</v>
      </c>
      <c r="C26" s="7" t="s">
        <v>64</v>
      </c>
      <c r="D26" s="7" t="n">
        <v>11</v>
      </c>
      <c r="E26" s="10" t="n">
        <v>12.2</v>
      </c>
      <c r="F26" s="7" t="n">
        <v>48</v>
      </c>
    </row>
    <row r="27" customFormat="false" ht="15" hidden="false" customHeight="false" outlineLevel="0" collapsed="false">
      <c r="A27" s="7" t="s">
        <v>117</v>
      </c>
      <c r="B27" s="7" t="s">
        <v>114</v>
      </c>
      <c r="C27" s="7" t="s">
        <v>66</v>
      </c>
      <c r="D27" s="7" t="n">
        <v>21</v>
      </c>
      <c r="E27" s="10" t="n">
        <v>11.8</v>
      </c>
      <c r="F27" s="7" t="n">
        <v>34</v>
      </c>
    </row>
    <row r="28" customFormat="false" ht="15" hidden="false" customHeight="false" outlineLevel="0" collapsed="false">
      <c r="A28" s="7" t="s">
        <v>118</v>
      </c>
      <c r="B28" s="7" t="s">
        <v>109</v>
      </c>
      <c r="C28" s="7" t="s">
        <v>67</v>
      </c>
      <c r="D28" s="7" t="n">
        <v>11</v>
      </c>
      <c r="E28" s="10" t="n">
        <v>9.8</v>
      </c>
      <c r="F28" s="7" t="n">
        <v>29</v>
      </c>
    </row>
    <row r="29" customFormat="false" ht="15" hidden="false" customHeight="false" outlineLevel="0" collapsed="false">
      <c r="A29" s="7" t="s">
        <v>118</v>
      </c>
      <c r="B29" s="7" t="s">
        <v>110</v>
      </c>
      <c r="C29" s="7" t="s">
        <v>67</v>
      </c>
      <c r="D29" s="7" t="n">
        <v>4</v>
      </c>
      <c r="E29" s="10" t="n">
        <v>9.2</v>
      </c>
      <c r="F29" s="7" t="n">
        <v>49</v>
      </c>
    </row>
    <row r="30" customFormat="false" ht="15" hidden="false" customHeight="false" outlineLevel="0" collapsed="false">
      <c r="A30" s="7" t="s">
        <v>118</v>
      </c>
      <c r="B30" s="7" t="s">
        <v>111</v>
      </c>
      <c r="C30" s="7" t="s">
        <v>68</v>
      </c>
      <c r="D30" s="7" t="n">
        <v>17</v>
      </c>
      <c r="E30" s="10" t="n">
        <v>5.1</v>
      </c>
      <c r="F30" s="7" t="n">
        <v>37</v>
      </c>
    </row>
    <row r="31" customFormat="false" ht="15" hidden="false" customHeight="false" outlineLevel="0" collapsed="false">
      <c r="A31" s="7" t="s">
        <v>118</v>
      </c>
      <c r="B31" s="7" t="s">
        <v>112</v>
      </c>
      <c r="C31" s="7" t="s">
        <v>65</v>
      </c>
      <c r="D31" s="7" t="n">
        <v>11</v>
      </c>
      <c r="E31" s="10" t="n">
        <v>12.7</v>
      </c>
      <c r="F31" s="7" t="n">
        <v>25</v>
      </c>
    </row>
    <row r="32" customFormat="false" ht="15" hidden="false" customHeight="false" outlineLevel="0" collapsed="false">
      <c r="A32" s="7" t="s">
        <v>118</v>
      </c>
      <c r="B32" s="7" t="s">
        <v>113</v>
      </c>
      <c r="C32" s="7" t="s">
        <v>64</v>
      </c>
      <c r="D32" s="7" t="n">
        <v>19</v>
      </c>
      <c r="E32" s="10" t="n">
        <v>10.9</v>
      </c>
      <c r="F32" s="7" t="n">
        <v>41</v>
      </c>
    </row>
    <row r="33" customFormat="false" ht="15" hidden="false" customHeight="false" outlineLevel="0" collapsed="false">
      <c r="A33" s="7" t="s">
        <v>118</v>
      </c>
      <c r="B33" s="7" t="s">
        <v>114</v>
      </c>
      <c r="C33" s="7" t="s">
        <v>66</v>
      </c>
      <c r="D33" s="7" t="n">
        <v>20</v>
      </c>
      <c r="E33" s="10" t="n">
        <v>6.8</v>
      </c>
      <c r="F33" s="7" t="n">
        <v>31</v>
      </c>
    </row>
    <row r="34" customFormat="false" ht="15" hidden="false" customHeight="false" outlineLevel="0" collapsed="false">
      <c r="A34" s="7" t="s">
        <v>119</v>
      </c>
      <c r="B34" s="7" t="s">
        <v>109</v>
      </c>
      <c r="C34" s="7" t="s">
        <v>67</v>
      </c>
      <c r="D34" s="7" t="n">
        <v>20</v>
      </c>
      <c r="E34" s="10" t="n">
        <v>10.4</v>
      </c>
      <c r="F34" s="7" t="n">
        <v>49</v>
      </c>
    </row>
    <row r="35" customFormat="false" ht="15" hidden="false" customHeight="false" outlineLevel="0" collapsed="false">
      <c r="A35" s="7" t="s">
        <v>119</v>
      </c>
      <c r="B35" s="7" t="s">
        <v>110</v>
      </c>
      <c r="C35" s="7" t="s">
        <v>67</v>
      </c>
      <c r="D35" s="7" t="n">
        <v>15</v>
      </c>
      <c r="E35" s="10" t="n">
        <v>8.8</v>
      </c>
      <c r="F35" s="7" t="n">
        <v>42</v>
      </c>
    </row>
    <row r="36" customFormat="false" ht="15" hidden="false" customHeight="false" outlineLevel="0" collapsed="false">
      <c r="A36" s="7" t="s">
        <v>119</v>
      </c>
      <c r="B36" s="7" t="s">
        <v>111</v>
      </c>
      <c r="C36" s="7" t="s">
        <v>68</v>
      </c>
      <c r="D36" s="7" t="n">
        <v>18</v>
      </c>
      <c r="E36" s="10" t="n">
        <v>14.5</v>
      </c>
      <c r="F36" s="7" t="n">
        <v>52</v>
      </c>
    </row>
    <row r="37" customFormat="false" ht="15" hidden="false" customHeight="false" outlineLevel="0" collapsed="false">
      <c r="A37" s="7" t="s">
        <v>119</v>
      </c>
      <c r="B37" s="7" t="s">
        <v>112</v>
      </c>
      <c r="C37" s="7" t="s">
        <v>65</v>
      </c>
      <c r="D37" s="7" t="n">
        <v>9</v>
      </c>
      <c r="E37" s="10" t="n">
        <v>14.4</v>
      </c>
      <c r="F37" s="7" t="n">
        <v>22</v>
      </c>
    </row>
    <row r="38" customFormat="false" ht="15" hidden="false" customHeight="false" outlineLevel="0" collapsed="false">
      <c r="A38" s="7" t="s">
        <v>119</v>
      </c>
      <c r="B38" s="7" t="s">
        <v>113</v>
      </c>
      <c r="C38" s="7" t="s">
        <v>64</v>
      </c>
      <c r="D38" s="7" t="n">
        <v>14</v>
      </c>
      <c r="E38" s="10" t="n">
        <v>10.9</v>
      </c>
      <c r="F38" s="7" t="n">
        <v>41</v>
      </c>
    </row>
    <row r="39" customFormat="false" ht="15" hidden="false" customHeight="false" outlineLevel="0" collapsed="false">
      <c r="A39" s="7" t="s">
        <v>119</v>
      </c>
      <c r="B39" s="7" t="s">
        <v>114</v>
      </c>
      <c r="C39" s="7" t="s">
        <v>66</v>
      </c>
      <c r="D39" s="7" t="n">
        <v>17</v>
      </c>
      <c r="E39" s="10" t="n">
        <v>16.4</v>
      </c>
      <c r="F39" s="7" t="n">
        <v>27</v>
      </c>
    </row>
    <row r="40" customFormat="false" ht="15" hidden="false" customHeight="false" outlineLevel="0" collapsed="false">
      <c r="A40" s="7" t="s">
        <v>120</v>
      </c>
      <c r="B40" s="7" t="s">
        <v>109</v>
      </c>
      <c r="C40" s="7" t="s">
        <v>67</v>
      </c>
      <c r="D40" s="7" t="n">
        <v>17</v>
      </c>
      <c r="E40" s="10" t="n">
        <v>11.5</v>
      </c>
      <c r="F40" s="7" t="n">
        <v>40</v>
      </c>
    </row>
    <row r="41" customFormat="false" ht="15" hidden="false" customHeight="false" outlineLevel="0" collapsed="false">
      <c r="A41" s="7" t="s">
        <v>120</v>
      </c>
      <c r="B41" s="7" t="s">
        <v>110</v>
      </c>
      <c r="C41" s="7" t="s">
        <v>67</v>
      </c>
      <c r="D41" s="7" t="n">
        <v>7</v>
      </c>
      <c r="E41" s="10" t="n">
        <v>12</v>
      </c>
      <c r="F41" s="7" t="n">
        <v>43</v>
      </c>
    </row>
    <row r="42" customFormat="false" ht="15" hidden="false" customHeight="false" outlineLevel="0" collapsed="false">
      <c r="A42" s="7" t="s">
        <v>120</v>
      </c>
      <c r="B42" s="7" t="s">
        <v>111</v>
      </c>
      <c r="C42" s="7" t="s">
        <v>68</v>
      </c>
      <c r="D42" s="7" t="n">
        <v>17</v>
      </c>
      <c r="E42" s="10" t="n">
        <v>10.5</v>
      </c>
      <c r="F42" s="7" t="n">
        <v>36</v>
      </c>
    </row>
    <row r="43" customFormat="false" ht="15" hidden="false" customHeight="false" outlineLevel="0" collapsed="false">
      <c r="A43" s="7" t="s">
        <v>120</v>
      </c>
      <c r="B43" s="7" t="s">
        <v>112</v>
      </c>
      <c r="C43" s="7" t="s">
        <v>65</v>
      </c>
      <c r="D43" s="7" t="n">
        <v>17</v>
      </c>
      <c r="E43" s="10" t="n">
        <v>13.3</v>
      </c>
      <c r="F43" s="7" t="n">
        <v>41</v>
      </c>
    </row>
    <row r="44" customFormat="false" ht="15" hidden="false" customHeight="false" outlineLevel="0" collapsed="false">
      <c r="A44" s="7" t="s">
        <v>120</v>
      </c>
      <c r="B44" s="7" t="s">
        <v>113</v>
      </c>
      <c r="C44" s="7" t="s">
        <v>64</v>
      </c>
      <c r="D44" s="7" t="n">
        <v>24</v>
      </c>
      <c r="E44" s="10" t="n">
        <v>9.7</v>
      </c>
      <c r="F44" s="7" t="n">
        <v>54</v>
      </c>
    </row>
    <row r="45" customFormat="false" ht="15" hidden="false" customHeight="false" outlineLevel="0" collapsed="false">
      <c r="A45" s="7" t="s">
        <v>120</v>
      </c>
      <c r="B45" s="7" t="s">
        <v>114</v>
      </c>
      <c r="C45" s="7" t="s">
        <v>66</v>
      </c>
      <c r="D45" s="7" t="n">
        <v>1</v>
      </c>
      <c r="E45" s="10" t="n">
        <v>15.5</v>
      </c>
      <c r="F45" s="7" t="n">
        <v>25</v>
      </c>
    </row>
    <row r="46" customFormat="false" ht="15" hidden="false" customHeight="false" outlineLevel="0" collapsed="false">
      <c r="A46" s="7" t="s">
        <v>121</v>
      </c>
      <c r="B46" s="7" t="s">
        <v>109</v>
      </c>
      <c r="C46" s="7" t="s">
        <v>67</v>
      </c>
      <c r="D46" s="7" t="n">
        <v>23</v>
      </c>
      <c r="E46" s="10" t="n">
        <v>7.7</v>
      </c>
      <c r="F46" s="7" t="n">
        <v>49</v>
      </c>
    </row>
    <row r="47" customFormat="false" ht="15" hidden="false" customHeight="false" outlineLevel="0" collapsed="false">
      <c r="A47" s="7" t="s">
        <v>121</v>
      </c>
      <c r="B47" s="7" t="s">
        <v>110</v>
      </c>
      <c r="C47" s="7" t="s">
        <v>67</v>
      </c>
      <c r="D47" s="7" t="n">
        <v>8</v>
      </c>
      <c r="E47" s="10" t="n">
        <v>6.9</v>
      </c>
      <c r="F47" s="7" t="n">
        <v>47</v>
      </c>
    </row>
    <row r="48" customFormat="false" ht="15" hidden="false" customHeight="false" outlineLevel="0" collapsed="false">
      <c r="A48" s="7" t="s">
        <v>121</v>
      </c>
      <c r="B48" s="7" t="s">
        <v>111</v>
      </c>
      <c r="C48" s="7" t="s">
        <v>68</v>
      </c>
      <c r="D48" s="7" t="n">
        <v>17</v>
      </c>
      <c r="E48" s="10" t="n">
        <v>8.6</v>
      </c>
      <c r="F48" s="7" t="n">
        <v>60</v>
      </c>
    </row>
    <row r="49" customFormat="false" ht="15" hidden="false" customHeight="false" outlineLevel="0" collapsed="false">
      <c r="A49" s="7" t="s">
        <v>121</v>
      </c>
      <c r="B49" s="7" t="s">
        <v>112</v>
      </c>
      <c r="C49" s="7" t="s">
        <v>65</v>
      </c>
      <c r="D49" s="7" t="n">
        <v>13</v>
      </c>
      <c r="E49" s="10" t="n">
        <v>16.5</v>
      </c>
      <c r="F49" s="7" t="n">
        <v>26</v>
      </c>
    </row>
    <row r="50" customFormat="false" ht="15" hidden="false" customHeight="false" outlineLevel="0" collapsed="false">
      <c r="A50" s="7" t="s">
        <v>121</v>
      </c>
      <c r="B50" s="7" t="s">
        <v>113</v>
      </c>
      <c r="C50" s="7" t="s">
        <v>64</v>
      </c>
      <c r="D50" s="7" t="n">
        <v>9</v>
      </c>
      <c r="E50" s="10" t="n">
        <v>11.8</v>
      </c>
      <c r="F50" s="7" t="n">
        <v>27</v>
      </c>
    </row>
    <row r="51" customFormat="false" ht="15" hidden="false" customHeight="false" outlineLevel="0" collapsed="false">
      <c r="A51" s="7" t="s">
        <v>121</v>
      </c>
      <c r="B51" s="7" t="s">
        <v>114</v>
      </c>
      <c r="C51" s="7" t="s">
        <v>66</v>
      </c>
      <c r="D51" s="7" t="n">
        <v>18</v>
      </c>
      <c r="E51" s="10" t="n">
        <v>6.2</v>
      </c>
      <c r="F51" s="7" t="n">
        <v>34</v>
      </c>
    </row>
    <row r="52" customFormat="false" ht="15" hidden="false" customHeight="false" outlineLevel="0" collapsed="false">
      <c r="A52" s="7" t="s">
        <v>122</v>
      </c>
      <c r="B52" s="7" t="s">
        <v>109</v>
      </c>
      <c r="C52" s="7" t="s">
        <v>67</v>
      </c>
      <c r="D52" s="7" t="n">
        <v>10</v>
      </c>
      <c r="E52" s="10" t="n">
        <v>7.5</v>
      </c>
      <c r="F52" s="7" t="n">
        <v>42</v>
      </c>
    </row>
    <row r="53" customFormat="false" ht="15" hidden="false" customHeight="false" outlineLevel="0" collapsed="false">
      <c r="A53" s="7" t="s">
        <v>122</v>
      </c>
      <c r="B53" s="7" t="s">
        <v>110</v>
      </c>
      <c r="C53" s="7" t="s">
        <v>67</v>
      </c>
      <c r="D53" s="7" t="n">
        <v>12</v>
      </c>
      <c r="E53" s="10" t="n">
        <v>9</v>
      </c>
      <c r="F53" s="7" t="n">
        <v>47</v>
      </c>
    </row>
    <row r="54" customFormat="false" ht="15" hidden="false" customHeight="false" outlineLevel="0" collapsed="false">
      <c r="A54" s="7" t="s">
        <v>122</v>
      </c>
      <c r="B54" s="7" t="s">
        <v>111</v>
      </c>
      <c r="C54" s="7" t="s">
        <v>68</v>
      </c>
      <c r="D54" s="7" t="n">
        <v>15</v>
      </c>
      <c r="E54" s="10" t="n">
        <v>11.8</v>
      </c>
      <c r="F54" s="7" t="n">
        <v>51</v>
      </c>
    </row>
    <row r="55" customFormat="false" ht="15" hidden="false" customHeight="false" outlineLevel="0" collapsed="false">
      <c r="A55" s="7" t="s">
        <v>122</v>
      </c>
      <c r="B55" s="7" t="s">
        <v>112</v>
      </c>
      <c r="C55" s="7" t="s">
        <v>65</v>
      </c>
      <c r="D55" s="7" t="n">
        <v>14</v>
      </c>
      <c r="E55" s="10" t="n">
        <v>14.4</v>
      </c>
      <c r="F55" s="7" t="n">
        <v>31</v>
      </c>
    </row>
    <row r="56" customFormat="false" ht="15" hidden="false" customHeight="false" outlineLevel="0" collapsed="false">
      <c r="A56" s="7" t="s">
        <v>122</v>
      </c>
      <c r="B56" s="7" t="s">
        <v>113</v>
      </c>
      <c r="C56" s="7" t="s">
        <v>64</v>
      </c>
      <c r="D56" s="7" t="n">
        <v>17</v>
      </c>
      <c r="E56" s="10" t="n">
        <v>13.1</v>
      </c>
      <c r="F56" s="7" t="n">
        <v>31</v>
      </c>
    </row>
    <row r="57" customFormat="false" ht="15" hidden="false" customHeight="false" outlineLevel="0" collapsed="false">
      <c r="A57" s="7" t="s">
        <v>122</v>
      </c>
      <c r="B57" s="7" t="s">
        <v>114</v>
      </c>
      <c r="C57" s="7" t="s">
        <v>66</v>
      </c>
      <c r="D57" s="7" t="n">
        <v>8</v>
      </c>
      <c r="E57" s="10" t="n">
        <v>8.8</v>
      </c>
      <c r="F57" s="7" t="n">
        <v>24</v>
      </c>
    </row>
    <row r="58" customFormat="false" ht="15" hidden="false" customHeight="false" outlineLevel="0" collapsed="false">
      <c r="A58" s="7" t="s">
        <v>123</v>
      </c>
      <c r="B58" s="7" t="s">
        <v>109</v>
      </c>
      <c r="C58" s="7" t="s">
        <v>67</v>
      </c>
      <c r="D58" s="7" t="n">
        <v>15</v>
      </c>
      <c r="E58" s="10" t="n">
        <v>9.9</v>
      </c>
      <c r="F58" s="7" t="n">
        <v>37</v>
      </c>
    </row>
    <row r="59" customFormat="false" ht="15" hidden="false" customHeight="false" outlineLevel="0" collapsed="false">
      <c r="A59" s="7" t="s">
        <v>123</v>
      </c>
      <c r="B59" s="7" t="s">
        <v>110</v>
      </c>
      <c r="C59" s="7" t="s">
        <v>67</v>
      </c>
      <c r="D59" s="7" t="n">
        <v>15</v>
      </c>
      <c r="E59" s="10" t="n">
        <v>12.5</v>
      </c>
      <c r="F59" s="7" t="n">
        <v>52</v>
      </c>
    </row>
    <row r="60" customFormat="false" ht="15" hidden="false" customHeight="false" outlineLevel="0" collapsed="false">
      <c r="A60" s="7" t="s">
        <v>123</v>
      </c>
      <c r="B60" s="7" t="s">
        <v>111</v>
      </c>
      <c r="C60" s="7" t="s">
        <v>68</v>
      </c>
      <c r="D60" s="7" t="n">
        <v>10</v>
      </c>
      <c r="E60" s="10" t="n">
        <v>12.3</v>
      </c>
      <c r="F60" s="7" t="n">
        <v>45</v>
      </c>
    </row>
    <row r="61" customFormat="false" ht="15" hidden="false" customHeight="false" outlineLevel="0" collapsed="false">
      <c r="A61" s="7" t="s">
        <v>123</v>
      </c>
      <c r="B61" s="7" t="s">
        <v>112</v>
      </c>
      <c r="C61" s="7" t="s">
        <v>65</v>
      </c>
      <c r="D61" s="7" t="n">
        <v>10</v>
      </c>
      <c r="E61" s="10" t="n">
        <v>12.2</v>
      </c>
      <c r="F61" s="7" t="n">
        <v>26</v>
      </c>
    </row>
    <row r="62" customFormat="false" ht="15" hidden="false" customHeight="false" outlineLevel="0" collapsed="false">
      <c r="A62" s="7" t="s">
        <v>123</v>
      </c>
      <c r="B62" s="7" t="s">
        <v>113</v>
      </c>
      <c r="C62" s="7" t="s">
        <v>64</v>
      </c>
      <c r="D62" s="7" t="n">
        <v>13</v>
      </c>
      <c r="E62" s="10" t="n">
        <v>12.8</v>
      </c>
      <c r="F62" s="7" t="n">
        <v>20</v>
      </c>
    </row>
    <row r="63" customFormat="false" ht="15" hidden="false" customHeight="false" outlineLevel="0" collapsed="false">
      <c r="A63" s="7" t="s">
        <v>123</v>
      </c>
      <c r="B63" s="7" t="s">
        <v>114</v>
      </c>
      <c r="C63" s="7" t="s">
        <v>66</v>
      </c>
      <c r="D63" s="7" t="n">
        <v>11</v>
      </c>
      <c r="E63" s="10" t="n">
        <v>10.2</v>
      </c>
      <c r="F63" s="7" t="n">
        <v>33</v>
      </c>
    </row>
    <row r="64" customFormat="false" ht="15" hidden="false" customHeight="false" outlineLevel="0" collapsed="false">
      <c r="A64" s="7" t="s">
        <v>124</v>
      </c>
      <c r="B64" s="7" t="s">
        <v>109</v>
      </c>
      <c r="C64" s="7" t="s">
        <v>67</v>
      </c>
      <c r="D64" s="7" t="n">
        <v>9</v>
      </c>
      <c r="E64" s="10" t="n">
        <v>11.4</v>
      </c>
      <c r="F64" s="7" t="n">
        <v>32</v>
      </c>
    </row>
    <row r="65" customFormat="false" ht="15" hidden="false" customHeight="false" outlineLevel="0" collapsed="false">
      <c r="A65" s="7" t="s">
        <v>124</v>
      </c>
      <c r="B65" s="7" t="s">
        <v>110</v>
      </c>
      <c r="C65" s="7" t="s">
        <v>67</v>
      </c>
      <c r="D65" s="7" t="n">
        <v>10</v>
      </c>
      <c r="E65" s="10" t="n">
        <v>12.1</v>
      </c>
      <c r="F65" s="7" t="n">
        <v>43</v>
      </c>
    </row>
    <row r="66" customFormat="false" ht="15" hidden="false" customHeight="false" outlineLevel="0" collapsed="false">
      <c r="A66" s="7" t="s">
        <v>124</v>
      </c>
      <c r="B66" s="7" t="s">
        <v>111</v>
      </c>
      <c r="C66" s="7" t="s">
        <v>68</v>
      </c>
      <c r="D66" s="7" t="n">
        <v>14</v>
      </c>
      <c r="E66" s="10" t="n">
        <v>10.5</v>
      </c>
      <c r="F66" s="7" t="n">
        <v>48</v>
      </c>
    </row>
    <row r="67" customFormat="false" ht="15" hidden="false" customHeight="false" outlineLevel="0" collapsed="false">
      <c r="A67" s="7" t="s">
        <v>124</v>
      </c>
      <c r="B67" s="7" t="s">
        <v>112</v>
      </c>
      <c r="C67" s="7" t="s">
        <v>65</v>
      </c>
      <c r="D67" s="7" t="n">
        <v>21</v>
      </c>
      <c r="E67" s="10" t="n">
        <v>10.8</v>
      </c>
      <c r="F67" s="7" t="n">
        <v>28</v>
      </c>
    </row>
    <row r="68" customFormat="false" ht="15" hidden="false" customHeight="false" outlineLevel="0" collapsed="false">
      <c r="A68" s="7" t="s">
        <v>124</v>
      </c>
      <c r="B68" s="7" t="s">
        <v>113</v>
      </c>
      <c r="C68" s="7" t="s">
        <v>64</v>
      </c>
      <c r="D68" s="7" t="n">
        <v>9</v>
      </c>
      <c r="E68" s="10" t="n">
        <v>16.7</v>
      </c>
      <c r="F68" s="7" t="n">
        <v>28</v>
      </c>
    </row>
    <row r="69" customFormat="false" ht="15" hidden="false" customHeight="false" outlineLevel="0" collapsed="false">
      <c r="A69" s="7" t="s">
        <v>124</v>
      </c>
      <c r="B69" s="7" t="s">
        <v>114</v>
      </c>
      <c r="C69" s="7" t="s">
        <v>66</v>
      </c>
      <c r="D69" s="7" t="n">
        <v>9</v>
      </c>
      <c r="E69" s="10" t="n">
        <v>13.4</v>
      </c>
      <c r="F69" s="7" t="n">
        <v>42</v>
      </c>
    </row>
    <row r="70" customFormat="false" ht="15" hidden="false" customHeight="false" outlineLevel="0" collapsed="false">
      <c r="A70" s="7" t="s">
        <v>125</v>
      </c>
      <c r="B70" s="7" t="s">
        <v>109</v>
      </c>
      <c r="C70" s="7" t="s">
        <v>67</v>
      </c>
      <c r="D70" s="7" t="n">
        <v>7</v>
      </c>
      <c r="E70" s="10" t="n">
        <v>10</v>
      </c>
      <c r="F70" s="7" t="n">
        <v>27</v>
      </c>
    </row>
    <row r="71" customFormat="false" ht="15" hidden="false" customHeight="false" outlineLevel="0" collapsed="false">
      <c r="A71" s="7" t="s">
        <v>125</v>
      </c>
      <c r="B71" s="7" t="s">
        <v>110</v>
      </c>
      <c r="C71" s="7" t="s">
        <v>67</v>
      </c>
      <c r="D71" s="7" t="n">
        <v>9</v>
      </c>
      <c r="E71" s="10" t="n">
        <v>15.2</v>
      </c>
      <c r="F71" s="7" t="n">
        <v>41</v>
      </c>
    </row>
    <row r="72" customFormat="false" ht="15" hidden="false" customHeight="false" outlineLevel="0" collapsed="false">
      <c r="A72" s="7" t="s">
        <v>125</v>
      </c>
      <c r="B72" s="7" t="s">
        <v>111</v>
      </c>
      <c r="C72" s="7" t="s">
        <v>68</v>
      </c>
      <c r="D72" s="7" t="n">
        <v>12</v>
      </c>
      <c r="E72" s="10" t="n">
        <v>10.9</v>
      </c>
      <c r="F72" s="7" t="n">
        <v>41</v>
      </c>
    </row>
    <row r="73" customFormat="false" ht="15" hidden="false" customHeight="false" outlineLevel="0" collapsed="false">
      <c r="A73" s="7" t="s">
        <v>125</v>
      </c>
      <c r="B73" s="7" t="s">
        <v>112</v>
      </c>
      <c r="C73" s="7" t="s">
        <v>65</v>
      </c>
      <c r="D73" s="7" t="n">
        <v>14</v>
      </c>
      <c r="E73" s="10" t="n">
        <v>8.3</v>
      </c>
      <c r="F73" s="7" t="n">
        <v>24</v>
      </c>
    </row>
    <row r="74" customFormat="false" ht="15" hidden="false" customHeight="false" outlineLevel="0" collapsed="false">
      <c r="A74" s="7" t="s">
        <v>125</v>
      </c>
      <c r="B74" s="7" t="s">
        <v>113</v>
      </c>
      <c r="C74" s="7" t="s">
        <v>64</v>
      </c>
      <c r="D74" s="7" t="n">
        <v>24</v>
      </c>
      <c r="E74" s="10" t="n">
        <v>9.3</v>
      </c>
      <c r="F74" s="7" t="n">
        <v>46</v>
      </c>
    </row>
    <row r="75" customFormat="false" ht="15" hidden="false" customHeight="false" outlineLevel="0" collapsed="false">
      <c r="A75" s="7" t="s">
        <v>125</v>
      </c>
      <c r="B75" s="7" t="s">
        <v>114</v>
      </c>
      <c r="C75" s="7" t="s">
        <v>66</v>
      </c>
      <c r="D75" s="7" t="n">
        <v>12</v>
      </c>
      <c r="E75" s="10" t="n">
        <v>16.5</v>
      </c>
      <c r="F75" s="7" t="n">
        <v>39</v>
      </c>
    </row>
    <row r="76" customFormat="false" ht="15" hidden="false" customHeight="false" outlineLevel="0" collapsed="false">
      <c r="A76" s="7" t="s">
        <v>126</v>
      </c>
      <c r="B76" s="7" t="s">
        <v>109</v>
      </c>
      <c r="C76" s="7" t="s">
        <v>67</v>
      </c>
      <c r="D76" s="7" t="n">
        <v>12</v>
      </c>
      <c r="E76" s="10" t="n">
        <v>16.3</v>
      </c>
      <c r="F76" s="7" t="n">
        <v>32</v>
      </c>
    </row>
    <row r="77" customFormat="false" ht="15" hidden="false" customHeight="false" outlineLevel="0" collapsed="false">
      <c r="A77" s="7" t="s">
        <v>126</v>
      </c>
      <c r="B77" s="7" t="s">
        <v>110</v>
      </c>
      <c r="C77" s="7" t="s">
        <v>67</v>
      </c>
      <c r="D77" s="7" t="n">
        <v>11</v>
      </c>
      <c r="E77" s="10" t="n">
        <v>7.8</v>
      </c>
      <c r="F77" s="7" t="n">
        <v>33</v>
      </c>
    </row>
    <row r="78" customFormat="false" ht="15" hidden="false" customHeight="false" outlineLevel="0" collapsed="false">
      <c r="A78" s="7" t="s">
        <v>126</v>
      </c>
      <c r="B78" s="7" t="s">
        <v>111</v>
      </c>
      <c r="C78" s="7" t="s">
        <v>68</v>
      </c>
      <c r="D78" s="7" t="n">
        <v>11</v>
      </c>
      <c r="E78" s="10" t="n">
        <v>7.8</v>
      </c>
      <c r="F78" s="7" t="n">
        <v>36</v>
      </c>
    </row>
    <row r="79" customFormat="false" ht="15" hidden="false" customHeight="false" outlineLevel="0" collapsed="false">
      <c r="A79" s="7" t="s">
        <v>126</v>
      </c>
      <c r="B79" s="7" t="s">
        <v>112</v>
      </c>
      <c r="C79" s="7" t="s">
        <v>65</v>
      </c>
      <c r="D79" s="7" t="n">
        <v>22</v>
      </c>
      <c r="E79" s="10" t="n">
        <v>6.7</v>
      </c>
      <c r="F79" s="7" t="n">
        <v>23</v>
      </c>
    </row>
    <row r="80" customFormat="false" ht="15" hidden="false" customHeight="false" outlineLevel="0" collapsed="false">
      <c r="A80" s="7" t="s">
        <v>126</v>
      </c>
      <c r="B80" s="7" t="s">
        <v>113</v>
      </c>
      <c r="C80" s="7" t="s">
        <v>64</v>
      </c>
      <c r="D80" s="7" t="n">
        <v>9</v>
      </c>
      <c r="E80" s="10" t="n">
        <v>10.2</v>
      </c>
      <c r="F80" s="7" t="n">
        <v>45</v>
      </c>
    </row>
    <row r="81" customFormat="false" ht="15" hidden="false" customHeight="false" outlineLevel="0" collapsed="false">
      <c r="A81" s="7" t="s">
        <v>126</v>
      </c>
      <c r="B81" s="7" t="s">
        <v>114</v>
      </c>
      <c r="C81" s="7" t="s">
        <v>66</v>
      </c>
      <c r="D81" s="7" t="n">
        <v>19</v>
      </c>
      <c r="E81" s="10" t="n">
        <v>14.1</v>
      </c>
      <c r="F81" s="7" t="n">
        <v>34</v>
      </c>
    </row>
    <row r="82" customFormat="false" ht="15" hidden="false" customHeight="false" outlineLevel="0" collapsed="false">
      <c r="A82" s="7" t="s">
        <v>127</v>
      </c>
      <c r="B82" s="7" t="s">
        <v>109</v>
      </c>
      <c r="C82" s="7" t="s">
        <v>67</v>
      </c>
      <c r="D82" s="7" t="n">
        <v>25</v>
      </c>
      <c r="E82" s="10" t="n">
        <v>7</v>
      </c>
      <c r="F82" s="7" t="n">
        <v>30</v>
      </c>
    </row>
    <row r="83" customFormat="false" ht="15" hidden="false" customHeight="false" outlineLevel="0" collapsed="false">
      <c r="A83" s="7" t="s">
        <v>127</v>
      </c>
      <c r="B83" s="7" t="s">
        <v>110</v>
      </c>
      <c r="C83" s="7" t="s">
        <v>67</v>
      </c>
      <c r="D83" s="7" t="n">
        <v>13</v>
      </c>
      <c r="E83" s="10" t="n">
        <v>10.9</v>
      </c>
      <c r="F83" s="7" t="n">
        <v>38</v>
      </c>
    </row>
    <row r="84" customFormat="false" ht="15" hidden="false" customHeight="false" outlineLevel="0" collapsed="false">
      <c r="A84" s="7" t="s">
        <v>127</v>
      </c>
      <c r="B84" s="7" t="s">
        <v>111</v>
      </c>
      <c r="C84" s="7" t="s">
        <v>68</v>
      </c>
      <c r="D84" s="7" t="n">
        <v>9</v>
      </c>
      <c r="E84" s="10" t="n">
        <v>6.8</v>
      </c>
      <c r="F84" s="7" t="n">
        <v>36</v>
      </c>
    </row>
    <row r="85" customFormat="false" ht="15" hidden="false" customHeight="false" outlineLevel="0" collapsed="false">
      <c r="A85" s="7" t="s">
        <v>127</v>
      </c>
      <c r="B85" s="7" t="s">
        <v>112</v>
      </c>
      <c r="C85" s="7" t="s">
        <v>65</v>
      </c>
      <c r="D85" s="7" t="n">
        <v>11</v>
      </c>
      <c r="E85" s="10" t="n">
        <v>10.4</v>
      </c>
      <c r="F85" s="7" t="n">
        <v>25</v>
      </c>
    </row>
    <row r="86" customFormat="false" ht="15" hidden="false" customHeight="false" outlineLevel="0" collapsed="false">
      <c r="A86" s="7" t="s">
        <v>127</v>
      </c>
      <c r="B86" s="7" t="s">
        <v>113</v>
      </c>
      <c r="C86" s="7" t="s">
        <v>64</v>
      </c>
      <c r="D86" s="7" t="n">
        <v>21</v>
      </c>
      <c r="E86" s="10" t="n">
        <v>12.9</v>
      </c>
      <c r="F86" s="7" t="n">
        <v>52</v>
      </c>
    </row>
    <row r="87" customFormat="false" ht="15" hidden="false" customHeight="false" outlineLevel="0" collapsed="false">
      <c r="A87" s="7" t="s">
        <v>127</v>
      </c>
      <c r="B87" s="7" t="s">
        <v>114</v>
      </c>
      <c r="C87" s="7" t="s">
        <v>66</v>
      </c>
      <c r="D87" s="7" t="n">
        <v>13</v>
      </c>
      <c r="E87" s="10" t="n">
        <v>12.8</v>
      </c>
      <c r="F87" s="7" t="n">
        <v>30</v>
      </c>
    </row>
    <row r="88" customFormat="false" ht="15" hidden="false" customHeight="false" outlineLevel="0" collapsed="false">
      <c r="A88" s="7" t="s">
        <v>128</v>
      </c>
      <c r="B88" s="7" t="s">
        <v>109</v>
      </c>
      <c r="C88" s="7" t="s">
        <v>67</v>
      </c>
      <c r="D88" s="7" t="n">
        <v>13</v>
      </c>
      <c r="E88" s="10" t="n">
        <v>9.6</v>
      </c>
      <c r="F88" s="7" t="n">
        <v>38</v>
      </c>
    </row>
    <row r="89" customFormat="false" ht="15" hidden="false" customHeight="false" outlineLevel="0" collapsed="false">
      <c r="A89" s="7" t="s">
        <v>128</v>
      </c>
      <c r="B89" s="7" t="s">
        <v>110</v>
      </c>
      <c r="C89" s="7" t="s">
        <v>67</v>
      </c>
      <c r="D89" s="7" t="n">
        <v>3</v>
      </c>
      <c r="E89" s="10" t="n">
        <v>9.5</v>
      </c>
      <c r="F89" s="7" t="n">
        <v>46</v>
      </c>
    </row>
    <row r="90" customFormat="false" ht="15" hidden="false" customHeight="false" outlineLevel="0" collapsed="false">
      <c r="A90" s="7" t="s">
        <v>128</v>
      </c>
      <c r="B90" s="7" t="s">
        <v>111</v>
      </c>
      <c r="C90" s="7" t="s">
        <v>68</v>
      </c>
      <c r="D90" s="7" t="n">
        <v>3</v>
      </c>
      <c r="E90" s="10" t="n">
        <v>9.6</v>
      </c>
      <c r="F90" s="7" t="n">
        <v>44</v>
      </c>
    </row>
    <row r="91" customFormat="false" ht="15" hidden="false" customHeight="false" outlineLevel="0" collapsed="false">
      <c r="A91" s="7" t="s">
        <v>128</v>
      </c>
      <c r="B91" s="7" t="s">
        <v>112</v>
      </c>
      <c r="C91" s="7" t="s">
        <v>65</v>
      </c>
      <c r="D91" s="7" t="n">
        <v>21</v>
      </c>
      <c r="E91" s="10" t="n">
        <v>11.6</v>
      </c>
      <c r="F91" s="7" t="n">
        <v>39</v>
      </c>
    </row>
    <row r="92" customFormat="false" ht="15" hidden="false" customHeight="false" outlineLevel="0" collapsed="false">
      <c r="A92" s="7" t="s">
        <v>128</v>
      </c>
      <c r="B92" s="7" t="s">
        <v>113</v>
      </c>
      <c r="C92" s="7" t="s">
        <v>64</v>
      </c>
      <c r="D92" s="7" t="n">
        <v>23</v>
      </c>
      <c r="E92" s="10" t="n">
        <v>15.4</v>
      </c>
      <c r="F92" s="7" t="n">
        <v>32</v>
      </c>
    </row>
    <row r="93" customFormat="false" ht="15" hidden="false" customHeight="false" outlineLevel="0" collapsed="false">
      <c r="A93" s="7" t="s">
        <v>128</v>
      </c>
      <c r="B93" s="7" t="s">
        <v>114</v>
      </c>
      <c r="C93" s="7" t="s">
        <v>66</v>
      </c>
      <c r="D93" s="7" t="n">
        <v>13</v>
      </c>
      <c r="E93" s="10" t="n">
        <v>15.7</v>
      </c>
      <c r="F93" s="7" t="n">
        <v>35</v>
      </c>
    </row>
    <row r="94" customFormat="false" ht="15" hidden="false" customHeight="false" outlineLevel="0" collapsed="false">
      <c r="A94" s="7" t="s">
        <v>129</v>
      </c>
      <c r="B94" s="7" t="s">
        <v>109</v>
      </c>
      <c r="C94" s="7" t="s">
        <v>67</v>
      </c>
      <c r="D94" s="7" t="n">
        <v>10</v>
      </c>
      <c r="E94" s="10" t="n">
        <v>9.6</v>
      </c>
      <c r="F94" s="7" t="n">
        <v>43</v>
      </c>
    </row>
    <row r="95" customFormat="false" ht="15" hidden="false" customHeight="false" outlineLevel="0" collapsed="false">
      <c r="A95" s="7" t="s">
        <v>129</v>
      </c>
      <c r="B95" s="7" t="s">
        <v>110</v>
      </c>
      <c r="C95" s="7" t="s">
        <v>67</v>
      </c>
      <c r="D95" s="7" t="n">
        <v>12</v>
      </c>
      <c r="E95" s="10" t="n">
        <v>9.6</v>
      </c>
      <c r="F95" s="7" t="n">
        <v>38</v>
      </c>
    </row>
    <row r="96" customFormat="false" ht="15" hidden="false" customHeight="false" outlineLevel="0" collapsed="false">
      <c r="A96" s="7" t="s">
        <v>129</v>
      </c>
      <c r="B96" s="7" t="s">
        <v>111</v>
      </c>
      <c r="C96" s="7" t="s">
        <v>68</v>
      </c>
      <c r="D96" s="7" t="n">
        <v>6</v>
      </c>
      <c r="E96" s="10" t="n">
        <v>15.8</v>
      </c>
      <c r="F96" s="7" t="n">
        <v>50</v>
      </c>
    </row>
    <row r="97" customFormat="false" ht="15" hidden="false" customHeight="false" outlineLevel="0" collapsed="false">
      <c r="A97" s="7" t="s">
        <v>129</v>
      </c>
      <c r="B97" s="7" t="s">
        <v>112</v>
      </c>
      <c r="C97" s="7" t="s">
        <v>65</v>
      </c>
      <c r="D97" s="7" t="n">
        <v>22</v>
      </c>
      <c r="E97" s="10" t="n">
        <v>11.5</v>
      </c>
      <c r="F97" s="7" t="n">
        <v>36</v>
      </c>
    </row>
    <row r="98" customFormat="false" ht="15" hidden="false" customHeight="false" outlineLevel="0" collapsed="false">
      <c r="A98" s="7" t="s">
        <v>129</v>
      </c>
      <c r="B98" s="7" t="s">
        <v>113</v>
      </c>
      <c r="C98" s="7" t="s">
        <v>64</v>
      </c>
      <c r="D98" s="7" t="n">
        <v>17</v>
      </c>
      <c r="E98" s="10" t="n">
        <v>14</v>
      </c>
      <c r="F98" s="7" t="n">
        <v>19</v>
      </c>
    </row>
    <row r="99" customFormat="false" ht="15" hidden="false" customHeight="false" outlineLevel="0" collapsed="false">
      <c r="A99" s="7" t="s">
        <v>129</v>
      </c>
      <c r="B99" s="7" t="s">
        <v>114</v>
      </c>
      <c r="C99" s="7" t="s">
        <v>66</v>
      </c>
      <c r="D99" s="7" t="n">
        <v>17</v>
      </c>
      <c r="E99" s="10" t="n">
        <v>9.7</v>
      </c>
      <c r="F99" s="7" t="n">
        <v>32</v>
      </c>
    </row>
    <row r="100" customFormat="false" ht="15" hidden="false" customHeight="false" outlineLevel="0" collapsed="false">
      <c r="A100" s="7" t="s">
        <v>130</v>
      </c>
      <c r="B100" s="7" t="s">
        <v>109</v>
      </c>
      <c r="C100" s="7" t="s">
        <v>67</v>
      </c>
      <c r="D100" s="7" t="n">
        <v>9</v>
      </c>
      <c r="E100" s="10" t="n">
        <v>15.4</v>
      </c>
      <c r="F100" s="7" t="n">
        <v>45</v>
      </c>
    </row>
    <row r="101" customFormat="false" ht="15" hidden="false" customHeight="false" outlineLevel="0" collapsed="false">
      <c r="A101" s="7" t="s">
        <v>130</v>
      </c>
      <c r="B101" s="7" t="s">
        <v>110</v>
      </c>
      <c r="C101" s="7" t="s">
        <v>67</v>
      </c>
      <c r="D101" s="7" t="n">
        <v>13</v>
      </c>
      <c r="E101" s="10" t="n">
        <v>14.5</v>
      </c>
      <c r="F101" s="7" t="n">
        <v>39</v>
      </c>
    </row>
    <row r="102" customFormat="false" ht="15" hidden="false" customHeight="false" outlineLevel="0" collapsed="false">
      <c r="A102" s="7" t="s">
        <v>130</v>
      </c>
      <c r="B102" s="7" t="s">
        <v>111</v>
      </c>
      <c r="C102" s="7" t="s">
        <v>68</v>
      </c>
      <c r="D102" s="7" t="n">
        <v>9</v>
      </c>
      <c r="E102" s="10" t="n">
        <v>10.1</v>
      </c>
      <c r="F102" s="7" t="n">
        <v>35</v>
      </c>
    </row>
    <row r="103" customFormat="false" ht="15" hidden="false" customHeight="false" outlineLevel="0" collapsed="false">
      <c r="A103" s="7" t="s">
        <v>130</v>
      </c>
      <c r="B103" s="7" t="s">
        <v>112</v>
      </c>
      <c r="C103" s="7" t="s">
        <v>65</v>
      </c>
      <c r="D103" s="7" t="n">
        <v>15</v>
      </c>
      <c r="E103" s="10" t="n">
        <v>14.4</v>
      </c>
      <c r="F103" s="7" t="n">
        <v>34</v>
      </c>
    </row>
    <row r="104" customFormat="false" ht="15" hidden="false" customHeight="false" outlineLevel="0" collapsed="false">
      <c r="A104" s="7" t="s">
        <v>130</v>
      </c>
      <c r="B104" s="7" t="s">
        <v>113</v>
      </c>
      <c r="C104" s="7" t="s">
        <v>64</v>
      </c>
      <c r="D104" s="7" t="n">
        <v>14</v>
      </c>
      <c r="E104" s="10" t="n">
        <v>14.6</v>
      </c>
      <c r="F104" s="7" t="n">
        <v>38</v>
      </c>
    </row>
    <row r="105" customFormat="false" ht="15" hidden="false" customHeight="false" outlineLevel="0" collapsed="false">
      <c r="A105" s="7" t="s">
        <v>130</v>
      </c>
      <c r="B105" s="7" t="s">
        <v>114</v>
      </c>
      <c r="C105" s="7" t="s">
        <v>66</v>
      </c>
      <c r="D105" s="7" t="n">
        <v>20</v>
      </c>
      <c r="E105" s="10" t="n">
        <v>13</v>
      </c>
      <c r="F105" s="7" t="n">
        <v>21</v>
      </c>
    </row>
    <row r="106" customFormat="false" ht="15" hidden="false" customHeight="false" outlineLevel="0" collapsed="false">
      <c r="A106" s="7" t="s">
        <v>131</v>
      </c>
      <c r="B106" s="7" t="s">
        <v>109</v>
      </c>
      <c r="C106" s="7" t="s">
        <v>67</v>
      </c>
      <c r="D106" s="7" t="n">
        <v>7</v>
      </c>
      <c r="E106" s="10" t="n">
        <v>5.4</v>
      </c>
      <c r="F106" s="7" t="n">
        <v>50</v>
      </c>
    </row>
    <row r="107" customFormat="false" ht="15" hidden="false" customHeight="false" outlineLevel="0" collapsed="false">
      <c r="A107" s="7" t="s">
        <v>131</v>
      </c>
      <c r="B107" s="7" t="s">
        <v>110</v>
      </c>
      <c r="C107" s="7" t="s">
        <v>67</v>
      </c>
      <c r="D107" s="7" t="n">
        <v>15</v>
      </c>
      <c r="E107" s="10" t="n">
        <v>8.9</v>
      </c>
      <c r="F107" s="7" t="n">
        <v>31</v>
      </c>
    </row>
    <row r="108" customFormat="false" ht="15" hidden="false" customHeight="false" outlineLevel="0" collapsed="false">
      <c r="A108" s="7" t="s">
        <v>131</v>
      </c>
      <c r="B108" s="7" t="s">
        <v>111</v>
      </c>
      <c r="C108" s="7" t="s">
        <v>68</v>
      </c>
      <c r="D108" s="7" t="n">
        <v>15</v>
      </c>
      <c r="E108" s="10" t="n">
        <v>10.3</v>
      </c>
      <c r="F108" s="7" t="n">
        <v>42</v>
      </c>
    </row>
    <row r="109" customFormat="false" ht="15" hidden="false" customHeight="false" outlineLevel="0" collapsed="false">
      <c r="A109" s="7" t="s">
        <v>131</v>
      </c>
      <c r="B109" s="7" t="s">
        <v>112</v>
      </c>
      <c r="C109" s="7" t="s">
        <v>65</v>
      </c>
      <c r="D109" s="7" t="n">
        <v>10</v>
      </c>
      <c r="E109" s="10" t="n">
        <v>8.6</v>
      </c>
      <c r="F109" s="7" t="n">
        <v>49</v>
      </c>
    </row>
    <row r="110" customFormat="false" ht="15" hidden="false" customHeight="false" outlineLevel="0" collapsed="false">
      <c r="A110" s="7" t="s">
        <v>131</v>
      </c>
      <c r="B110" s="7" t="s">
        <v>113</v>
      </c>
      <c r="C110" s="7" t="s">
        <v>64</v>
      </c>
      <c r="D110" s="7" t="n">
        <v>9</v>
      </c>
      <c r="E110" s="10" t="n">
        <v>11.5</v>
      </c>
      <c r="F110" s="7" t="n">
        <v>48</v>
      </c>
    </row>
    <row r="111" customFormat="false" ht="15" hidden="false" customHeight="false" outlineLevel="0" collapsed="false">
      <c r="A111" s="7" t="s">
        <v>131</v>
      </c>
      <c r="B111" s="7" t="s">
        <v>114</v>
      </c>
      <c r="C111" s="7" t="s">
        <v>66</v>
      </c>
      <c r="D111" s="7" t="n">
        <v>7</v>
      </c>
      <c r="E111" s="10" t="n">
        <v>14.7</v>
      </c>
      <c r="F111" s="7" t="n">
        <v>33</v>
      </c>
    </row>
    <row r="112" customFormat="false" ht="15" hidden="false" customHeight="false" outlineLevel="0" collapsed="false">
      <c r="A112" s="7" t="s">
        <v>132</v>
      </c>
      <c r="B112" s="7" t="s">
        <v>109</v>
      </c>
      <c r="C112" s="7" t="s">
        <v>67</v>
      </c>
      <c r="D112" s="7" t="n">
        <v>12</v>
      </c>
      <c r="E112" s="10" t="n">
        <v>11.1</v>
      </c>
      <c r="F112" s="7" t="n">
        <v>29</v>
      </c>
    </row>
    <row r="113" customFormat="false" ht="15" hidden="false" customHeight="false" outlineLevel="0" collapsed="false">
      <c r="A113" s="7" t="s">
        <v>132</v>
      </c>
      <c r="B113" s="7" t="s">
        <v>110</v>
      </c>
      <c r="C113" s="7" t="s">
        <v>67</v>
      </c>
      <c r="D113" s="7" t="n">
        <v>2</v>
      </c>
      <c r="E113" s="10" t="n">
        <v>16</v>
      </c>
      <c r="F113" s="7" t="n">
        <v>37</v>
      </c>
    </row>
    <row r="114" customFormat="false" ht="15" hidden="false" customHeight="false" outlineLevel="0" collapsed="false">
      <c r="A114" s="7" t="s">
        <v>132</v>
      </c>
      <c r="B114" s="7" t="s">
        <v>111</v>
      </c>
      <c r="C114" s="7" t="s">
        <v>68</v>
      </c>
      <c r="D114" s="7" t="n">
        <v>17</v>
      </c>
      <c r="E114" s="10" t="n">
        <v>14</v>
      </c>
      <c r="F114" s="7" t="n">
        <v>41</v>
      </c>
    </row>
    <row r="115" customFormat="false" ht="15" hidden="false" customHeight="false" outlineLevel="0" collapsed="false">
      <c r="A115" s="7" t="s">
        <v>132</v>
      </c>
      <c r="B115" s="7" t="s">
        <v>112</v>
      </c>
      <c r="C115" s="7" t="s">
        <v>65</v>
      </c>
      <c r="D115" s="7" t="n">
        <v>17</v>
      </c>
      <c r="E115" s="10" t="n">
        <v>14</v>
      </c>
      <c r="F115" s="7" t="n">
        <v>49</v>
      </c>
    </row>
    <row r="116" customFormat="false" ht="15" hidden="false" customHeight="false" outlineLevel="0" collapsed="false">
      <c r="A116" s="7" t="s">
        <v>132</v>
      </c>
      <c r="B116" s="7" t="s">
        <v>113</v>
      </c>
      <c r="C116" s="7" t="s">
        <v>64</v>
      </c>
      <c r="D116" s="7" t="n">
        <v>17</v>
      </c>
      <c r="E116" s="10" t="n">
        <v>15.3</v>
      </c>
      <c r="F116" s="7" t="n">
        <v>33</v>
      </c>
    </row>
    <row r="117" customFormat="false" ht="15" hidden="false" customHeight="false" outlineLevel="0" collapsed="false">
      <c r="A117" s="7" t="s">
        <v>132</v>
      </c>
      <c r="B117" s="7" t="s">
        <v>114</v>
      </c>
      <c r="C117" s="7" t="s">
        <v>66</v>
      </c>
      <c r="D117" s="7" t="n">
        <v>14</v>
      </c>
      <c r="E117" s="10" t="n">
        <v>12.9</v>
      </c>
      <c r="F117" s="7" t="n">
        <v>36</v>
      </c>
    </row>
    <row r="118" customFormat="false" ht="15" hidden="false" customHeight="false" outlineLevel="0" collapsed="false">
      <c r="A118" s="7" t="s">
        <v>133</v>
      </c>
      <c r="B118" s="7" t="s">
        <v>109</v>
      </c>
      <c r="C118" s="7" t="s">
        <v>67</v>
      </c>
      <c r="D118" s="7" t="n">
        <v>15</v>
      </c>
      <c r="E118" s="10" t="n">
        <v>16.1</v>
      </c>
      <c r="F118" s="7" t="n">
        <v>47</v>
      </c>
    </row>
    <row r="119" customFormat="false" ht="15" hidden="false" customHeight="false" outlineLevel="0" collapsed="false">
      <c r="A119" s="7" t="s">
        <v>133</v>
      </c>
      <c r="B119" s="7" t="s">
        <v>110</v>
      </c>
      <c r="C119" s="7" t="s">
        <v>67</v>
      </c>
      <c r="D119" s="7" t="n">
        <v>13</v>
      </c>
      <c r="E119" s="10" t="n">
        <v>16.2</v>
      </c>
      <c r="F119" s="7" t="n">
        <v>43</v>
      </c>
    </row>
    <row r="120" customFormat="false" ht="15" hidden="false" customHeight="false" outlineLevel="0" collapsed="false">
      <c r="A120" s="7" t="s">
        <v>133</v>
      </c>
      <c r="B120" s="7" t="s">
        <v>111</v>
      </c>
      <c r="C120" s="7" t="s">
        <v>68</v>
      </c>
      <c r="D120" s="7" t="n">
        <v>15</v>
      </c>
      <c r="E120" s="10" t="n">
        <v>12.1</v>
      </c>
      <c r="F120" s="7" t="n">
        <v>36</v>
      </c>
    </row>
    <row r="121" customFormat="false" ht="15" hidden="false" customHeight="false" outlineLevel="0" collapsed="false">
      <c r="A121" s="7" t="s">
        <v>133</v>
      </c>
      <c r="B121" s="7" t="s">
        <v>112</v>
      </c>
      <c r="C121" s="7" t="s">
        <v>65</v>
      </c>
      <c r="D121" s="7" t="n">
        <v>9</v>
      </c>
      <c r="E121" s="10" t="n">
        <v>12.3</v>
      </c>
      <c r="F121" s="7" t="n">
        <v>32</v>
      </c>
    </row>
    <row r="122" customFormat="false" ht="15" hidden="false" customHeight="false" outlineLevel="0" collapsed="false">
      <c r="A122" s="7" t="s">
        <v>133</v>
      </c>
      <c r="B122" s="7" t="s">
        <v>113</v>
      </c>
      <c r="C122" s="7" t="s">
        <v>64</v>
      </c>
      <c r="D122" s="7" t="n">
        <v>10</v>
      </c>
      <c r="E122" s="10" t="n">
        <v>11.9</v>
      </c>
      <c r="F122" s="7" t="n">
        <v>34</v>
      </c>
    </row>
    <row r="123" customFormat="false" ht="15" hidden="false" customHeight="false" outlineLevel="0" collapsed="false">
      <c r="A123" s="7" t="s">
        <v>133</v>
      </c>
      <c r="B123" s="7" t="s">
        <v>114</v>
      </c>
      <c r="C123" s="7" t="s">
        <v>66</v>
      </c>
      <c r="D123" s="7" t="n">
        <v>13</v>
      </c>
      <c r="E123" s="10" t="n">
        <v>7.4</v>
      </c>
      <c r="F123" s="7" t="n">
        <v>31</v>
      </c>
    </row>
    <row r="124" customFormat="false" ht="15" hidden="false" customHeight="false" outlineLevel="0" collapsed="false">
      <c r="A124" s="7" t="s">
        <v>134</v>
      </c>
      <c r="B124" s="7" t="s">
        <v>109</v>
      </c>
      <c r="C124" s="7" t="s">
        <v>67</v>
      </c>
      <c r="D124" s="7" t="n">
        <v>21</v>
      </c>
      <c r="E124" s="10" t="n">
        <v>13</v>
      </c>
      <c r="F124" s="7" t="n">
        <v>50</v>
      </c>
    </row>
    <row r="125" customFormat="false" ht="15" hidden="false" customHeight="false" outlineLevel="0" collapsed="false">
      <c r="A125" s="7" t="s">
        <v>134</v>
      </c>
      <c r="B125" s="7" t="s">
        <v>110</v>
      </c>
      <c r="C125" s="7" t="s">
        <v>67</v>
      </c>
      <c r="D125" s="7" t="n">
        <v>13</v>
      </c>
      <c r="E125" s="10" t="n">
        <v>13.5</v>
      </c>
      <c r="F125" s="7" t="n">
        <v>34</v>
      </c>
    </row>
    <row r="126" customFormat="false" ht="15" hidden="false" customHeight="false" outlineLevel="0" collapsed="false">
      <c r="A126" s="7" t="s">
        <v>134</v>
      </c>
      <c r="B126" s="7" t="s">
        <v>111</v>
      </c>
      <c r="C126" s="7" t="s">
        <v>68</v>
      </c>
      <c r="D126" s="7" t="n">
        <v>11</v>
      </c>
      <c r="E126" s="10" t="n">
        <v>12.2</v>
      </c>
      <c r="F126" s="7" t="n">
        <v>26</v>
      </c>
    </row>
    <row r="127" customFormat="false" ht="15" hidden="false" customHeight="false" outlineLevel="0" collapsed="false">
      <c r="A127" s="7" t="s">
        <v>134</v>
      </c>
      <c r="B127" s="7" t="s">
        <v>112</v>
      </c>
      <c r="C127" s="7" t="s">
        <v>65</v>
      </c>
      <c r="D127" s="7" t="n">
        <v>15</v>
      </c>
      <c r="E127" s="10" t="n">
        <v>12.8</v>
      </c>
      <c r="F127" s="7" t="n">
        <v>50</v>
      </c>
    </row>
    <row r="128" customFormat="false" ht="15" hidden="false" customHeight="false" outlineLevel="0" collapsed="false">
      <c r="A128" s="7" t="s">
        <v>134</v>
      </c>
      <c r="B128" s="7" t="s">
        <v>113</v>
      </c>
      <c r="C128" s="7" t="s">
        <v>64</v>
      </c>
      <c r="D128" s="7" t="n">
        <v>11</v>
      </c>
      <c r="E128" s="10" t="n">
        <v>12.8</v>
      </c>
      <c r="F128" s="7" t="n">
        <v>30</v>
      </c>
    </row>
    <row r="129" customFormat="false" ht="15" hidden="false" customHeight="false" outlineLevel="0" collapsed="false">
      <c r="A129" s="7" t="s">
        <v>134</v>
      </c>
      <c r="B129" s="7" t="s">
        <v>114</v>
      </c>
      <c r="C129" s="7" t="s">
        <v>66</v>
      </c>
      <c r="D129" s="7" t="n">
        <v>13</v>
      </c>
      <c r="E129" s="10" t="n">
        <v>4.7</v>
      </c>
      <c r="F129" s="7" t="n">
        <v>24</v>
      </c>
    </row>
    <row r="130" customFormat="false" ht="15" hidden="false" customHeight="false" outlineLevel="0" collapsed="false">
      <c r="A130" s="7" t="s">
        <v>135</v>
      </c>
      <c r="B130" s="7" t="s">
        <v>109</v>
      </c>
      <c r="C130" s="7" t="s">
        <v>67</v>
      </c>
      <c r="D130" s="7" t="n">
        <v>18</v>
      </c>
      <c r="E130" s="10" t="n">
        <v>11.9</v>
      </c>
      <c r="F130" s="7" t="n">
        <v>41</v>
      </c>
    </row>
    <row r="131" customFormat="false" ht="15" hidden="false" customHeight="false" outlineLevel="0" collapsed="false">
      <c r="A131" s="7" t="s">
        <v>135</v>
      </c>
      <c r="B131" s="7" t="s">
        <v>110</v>
      </c>
      <c r="C131" s="7" t="s">
        <v>67</v>
      </c>
      <c r="D131" s="7" t="n">
        <v>25</v>
      </c>
      <c r="E131" s="10" t="n">
        <v>12</v>
      </c>
      <c r="F131" s="7" t="n">
        <v>29</v>
      </c>
    </row>
    <row r="132" customFormat="false" ht="15" hidden="false" customHeight="false" outlineLevel="0" collapsed="false">
      <c r="A132" s="7" t="s">
        <v>135</v>
      </c>
      <c r="B132" s="7" t="s">
        <v>111</v>
      </c>
      <c r="C132" s="7" t="s">
        <v>68</v>
      </c>
      <c r="D132" s="7" t="n">
        <v>12</v>
      </c>
      <c r="E132" s="10" t="n">
        <v>10.5</v>
      </c>
      <c r="F132" s="7" t="n">
        <v>53</v>
      </c>
    </row>
    <row r="133" customFormat="false" ht="15" hidden="false" customHeight="false" outlineLevel="0" collapsed="false">
      <c r="A133" s="7" t="s">
        <v>135</v>
      </c>
      <c r="B133" s="7" t="s">
        <v>112</v>
      </c>
      <c r="C133" s="7" t="s">
        <v>65</v>
      </c>
      <c r="D133" s="7" t="n">
        <v>10</v>
      </c>
      <c r="E133" s="10" t="n">
        <v>13.1</v>
      </c>
      <c r="F133" s="7" t="n">
        <v>43</v>
      </c>
    </row>
    <row r="134" customFormat="false" ht="15" hidden="false" customHeight="false" outlineLevel="0" collapsed="false">
      <c r="A134" s="7" t="s">
        <v>135</v>
      </c>
      <c r="B134" s="7" t="s">
        <v>113</v>
      </c>
      <c r="C134" s="7" t="s">
        <v>64</v>
      </c>
      <c r="D134" s="7" t="n">
        <v>10</v>
      </c>
      <c r="E134" s="10" t="n">
        <v>11.8</v>
      </c>
      <c r="F134" s="7" t="n">
        <v>18</v>
      </c>
    </row>
    <row r="135" customFormat="false" ht="15" hidden="false" customHeight="false" outlineLevel="0" collapsed="false">
      <c r="A135" s="7" t="s">
        <v>135</v>
      </c>
      <c r="B135" s="7" t="s">
        <v>114</v>
      </c>
      <c r="C135" s="7" t="s">
        <v>66</v>
      </c>
      <c r="D135" s="7" t="n">
        <v>16</v>
      </c>
      <c r="E135" s="10" t="n">
        <v>6.1</v>
      </c>
      <c r="F135" s="7" t="n">
        <v>29</v>
      </c>
    </row>
    <row r="136" customFormat="false" ht="15" hidden="false" customHeight="false" outlineLevel="0" collapsed="false">
      <c r="A136" s="7" t="s">
        <v>136</v>
      </c>
      <c r="B136" s="7" t="s">
        <v>109</v>
      </c>
      <c r="C136" s="7" t="s">
        <v>67</v>
      </c>
      <c r="D136" s="7" t="n">
        <v>21</v>
      </c>
      <c r="E136" s="10" t="n">
        <v>11.6</v>
      </c>
      <c r="F136" s="7" t="n">
        <v>40</v>
      </c>
    </row>
    <row r="137" customFormat="false" ht="15" hidden="false" customHeight="false" outlineLevel="0" collapsed="false">
      <c r="A137" s="7" t="s">
        <v>136</v>
      </c>
      <c r="B137" s="7" t="s">
        <v>110</v>
      </c>
      <c r="C137" s="7" t="s">
        <v>67</v>
      </c>
      <c r="D137" s="7" t="n">
        <v>13</v>
      </c>
      <c r="E137" s="10" t="n">
        <v>16.8</v>
      </c>
      <c r="F137" s="7" t="n">
        <v>45</v>
      </c>
    </row>
    <row r="138" customFormat="false" ht="15" hidden="false" customHeight="false" outlineLevel="0" collapsed="false">
      <c r="A138" s="7" t="s">
        <v>136</v>
      </c>
      <c r="B138" s="7" t="s">
        <v>111</v>
      </c>
      <c r="C138" s="7" t="s">
        <v>68</v>
      </c>
      <c r="D138" s="7" t="n">
        <v>18</v>
      </c>
      <c r="E138" s="10" t="n">
        <v>9.4</v>
      </c>
      <c r="F138" s="7" t="n">
        <v>35</v>
      </c>
    </row>
    <row r="139" customFormat="false" ht="15" hidden="false" customHeight="false" outlineLevel="0" collapsed="false">
      <c r="A139" s="7" t="s">
        <v>136</v>
      </c>
      <c r="B139" s="7" t="s">
        <v>112</v>
      </c>
      <c r="C139" s="7" t="s">
        <v>65</v>
      </c>
      <c r="D139" s="7" t="n">
        <v>9</v>
      </c>
      <c r="E139" s="10" t="n">
        <v>11.4</v>
      </c>
      <c r="F139" s="7" t="n">
        <v>29</v>
      </c>
    </row>
    <row r="140" customFormat="false" ht="15" hidden="false" customHeight="false" outlineLevel="0" collapsed="false">
      <c r="A140" s="7" t="s">
        <v>136</v>
      </c>
      <c r="B140" s="7" t="s">
        <v>113</v>
      </c>
      <c r="C140" s="7" t="s">
        <v>64</v>
      </c>
      <c r="D140" s="7" t="n">
        <v>19</v>
      </c>
      <c r="E140" s="10" t="n">
        <v>13.5</v>
      </c>
      <c r="F140" s="7" t="n">
        <v>35</v>
      </c>
    </row>
    <row r="141" customFormat="false" ht="15" hidden="false" customHeight="false" outlineLevel="0" collapsed="false">
      <c r="A141" s="7" t="s">
        <v>136</v>
      </c>
      <c r="B141" s="7" t="s">
        <v>114</v>
      </c>
      <c r="C141" s="7" t="s">
        <v>66</v>
      </c>
      <c r="D141" s="7" t="n">
        <v>13</v>
      </c>
      <c r="E141" s="10" t="n">
        <v>4.1</v>
      </c>
      <c r="F141" s="7" t="n">
        <v>27</v>
      </c>
    </row>
    <row r="142" customFormat="false" ht="15" hidden="false" customHeight="false" outlineLevel="0" collapsed="false">
      <c r="A142" s="7" t="s">
        <v>137</v>
      </c>
      <c r="B142" s="7" t="s">
        <v>109</v>
      </c>
      <c r="C142" s="7" t="s">
        <v>67</v>
      </c>
      <c r="D142" s="7" t="n">
        <v>14</v>
      </c>
      <c r="E142" s="10" t="n">
        <v>12.3</v>
      </c>
      <c r="F142" s="7" t="n">
        <v>13</v>
      </c>
    </row>
    <row r="143" customFormat="false" ht="15" hidden="false" customHeight="false" outlineLevel="0" collapsed="false">
      <c r="A143" s="7" t="s">
        <v>137</v>
      </c>
      <c r="B143" s="7" t="s">
        <v>110</v>
      </c>
      <c r="C143" s="7" t="s">
        <v>67</v>
      </c>
      <c r="D143" s="7" t="n">
        <v>1</v>
      </c>
      <c r="E143" s="10" t="n">
        <v>10.8</v>
      </c>
      <c r="F143" s="7" t="n">
        <v>31</v>
      </c>
    </row>
    <row r="144" customFormat="false" ht="15" hidden="false" customHeight="false" outlineLevel="0" collapsed="false">
      <c r="A144" s="7" t="s">
        <v>137</v>
      </c>
      <c r="B144" s="7" t="s">
        <v>111</v>
      </c>
      <c r="C144" s="7" t="s">
        <v>68</v>
      </c>
      <c r="D144" s="7" t="n">
        <v>12</v>
      </c>
      <c r="E144" s="10" t="n">
        <v>9.3</v>
      </c>
      <c r="F144" s="7" t="n">
        <v>44</v>
      </c>
    </row>
    <row r="145" customFormat="false" ht="15" hidden="false" customHeight="false" outlineLevel="0" collapsed="false">
      <c r="A145" s="7" t="s">
        <v>137</v>
      </c>
      <c r="B145" s="7" t="s">
        <v>112</v>
      </c>
      <c r="C145" s="7" t="s">
        <v>65</v>
      </c>
      <c r="D145" s="7" t="n">
        <v>5</v>
      </c>
      <c r="E145" s="10" t="n">
        <v>10.2</v>
      </c>
      <c r="F145" s="7" t="n">
        <v>43</v>
      </c>
    </row>
    <row r="146" customFormat="false" ht="15" hidden="false" customHeight="false" outlineLevel="0" collapsed="false">
      <c r="A146" s="7" t="s">
        <v>137</v>
      </c>
      <c r="B146" s="7" t="s">
        <v>113</v>
      </c>
      <c r="C146" s="7" t="s">
        <v>64</v>
      </c>
      <c r="D146" s="7" t="n">
        <v>15</v>
      </c>
      <c r="E146" s="10" t="n">
        <v>9.1</v>
      </c>
      <c r="F146" s="7" t="n">
        <v>40</v>
      </c>
    </row>
    <row r="147" customFormat="false" ht="15" hidden="false" customHeight="false" outlineLevel="0" collapsed="false">
      <c r="A147" s="7" t="s">
        <v>137</v>
      </c>
      <c r="B147" s="7" t="s">
        <v>114</v>
      </c>
      <c r="C147" s="7" t="s">
        <v>66</v>
      </c>
      <c r="D147" s="7" t="n">
        <v>17</v>
      </c>
      <c r="E147" s="10" t="n">
        <v>10</v>
      </c>
      <c r="F147" s="7" t="n">
        <v>39</v>
      </c>
    </row>
    <row r="148" customFormat="false" ht="15" hidden="false" customHeight="false" outlineLevel="0" collapsed="false">
      <c r="A148" s="7" t="s">
        <v>138</v>
      </c>
      <c r="B148" s="7" t="s">
        <v>109</v>
      </c>
      <c r="C148" s="7" t="s">
        <v>67</v>
      </c>
      <c r="D148" s="7" t="n">
        <v>16</v>
      </c>
      <c r="E148" s="10" t="n">
        <v>10</v>
      </c>
      <c r="F148" s="7" t="n">
        <v>48</v>
      </c>
    </row>
    <row r="149" customFormat="false" ht="15" hidden="false" customHeight="false" outlineLevel="0" collapsed="false">
      <c r="A149" s="7" t="s">
        <v>138</v>
      </c>
      <c r="B149" s="7" t="s">
        <v>110</v>
      </c>
      <c r="C149" s="7" t="s">
        <v>67</v>
      </c>
      <c r="D149" s="7" t="n">
        <v>7</v>
      </c>
      <c r="E149" s="10" t="n">
        <v>12.6</v>
      </c>
      <c r="F149" s="7" t="n">
        <v>38</v>
      </c>
    </row>
    <row r="150" customFormat="false" ht="15" hidden="false" customHeight="false" outlineLevel="0" collapsed="false">
      <c r="A150" s="7" t="s">
        <v>138</v>
      </c>
      <c r="B150" s="7" t="s">
        <v>111</v>
      </c>
      <c r="C150" s="7" t="s">
        <v>68</v>
      </c>
      <c r="D150" s="7" t="n">
        <v>8</v>
      </c>
      <c r="E150" s="10" t="n">
        <v>8.9</v>
      </c>
      <c r="F150" s="7" t="n">
        <v>49</v>
      </c>
    </row>
    <row r="151" customFormat="false" ht="15" hidden="false" customHeight="false" outlineLevel="0" collapsed="false">
      <c r="A151" s="7" t="s">
        <v>138</v>
      </c>
      <c r="B151" s="7" t="s">
        <v>112</v>
      </c>
      <c r="C151" s="7" t="s">
        <v>65</v>
      </c>
      <c r="D151" s="7" t="n">
        <v>12</v>
      </c>
      <c r="E151" s="10" t="n">
        <v>10.9</v>
      </c>
      <c r="F151" s="7" t="n">
        <v>29</v>
      </c>
    </row>
    <row r="152" customFormat="false" ht="15" hidden="false" customHeight="false" outlineLevel="0" collapsed="false">
      <c r="A152" s="7" t="s">
        <v>138</v>
      </c>
      <c r="B152" s="7" t="s">
        <v>113</v>
      </c>
      <c r="C152" s="7" t="s">
        <v>64</v>
      </c>
      <c r="D152" s="7" t="n">
        <v>10</v>
      </c>
      <c r="E152" s="10" t="n">
        <v>14.4</v>
      </c>
      <c r="F152" s="7" t="n">
        <v>55</v>
      </c>
    </row>
    <row r="153" customFormat="false" ht="15" hidden="false" customHeight="false" outlineLevel="0" collapsed="false">
      <c r="A153" s="7" t="s">
        <v>138</v>
      </c>
      <c r="B153" s="7" t="s">
        <v>114</v>
      </c>
      <c r="C153" s="7" t="s">
        <v>66</v>
      </c>
      <c r="D153" s="7" t="n">
        <v>22</v>
      </c>
      <c r="E153" s="10" t="n">
        <v>14.2</v>
      </c>
      <c r="F153" s="7" t="n">
        <v>39</v>
      </c>
    </row>
    <row r="154" customFormat="false" ht="15" hidden="false" customHeight="false" outlineLevel="0" collapsed="false">
      <c r="A154" s="7" t="s">
        <v>139</v>
      </c>
      <c r="B154" s="7" t="s">
        <v>109</v>
      </c>
      <c r="C154" s="7" t="s">
        <v>67</v>
      </c>
      <c r="D154" s="7" t="n">
        <v>11</v>
      </c>
      <c r="E154" s="10" t="n">
        <v>8.9</v>
      </c>
      <c r="F154" s="7" t="n">
        <v>30</v>
      </c>
    </row>
    <row r="155" customFormat="false" ht="15" hidden="false" customHeight="false" outlineLevel="0" collapsed="false">
      <c r="A155" s="7" t="s">
        <v>139</v>
      </c>
      <c r="B155" s="7" t="s">
        <v>110</v>
      </c>
      <c r="C155" s="7" t="s">
        <v>67</v>
      </c>
      <c r="D155" s="7" t="n">
        <v>20</v>
      </c>
      <c r="E155" s="10" t="n">
        <v>9.4</v>
      </c>
      <c r="F155" s="7" t="n">
        <v>34</v>
      </c>
    </row>
    <row r="156" customFormat="false" ht="15" hidden="false" customHeight="false" outlineLevel="0" collapsed="false">
      <c r="A156" s="7" t="s">
        <v>139</v>
      </c>
      <c r="B156" s="7" t="s">
        <v>111</v>
      </c>
      <c r="C156" s="7" t="s">
        <v>68</v>
      </c>
      <c r="D156" s="7" t="n">
        <v>10</v>
      </c>
      <c r="E156" s="10" t="n">
        <v>11.3</v>
      </c>
      <c r="F156" s="7" t="n">
        <v>34</v>
      </c>
    </row>
    <row r="157" customFormat="false" ht="15" hidden="false" customHeight="false" outlineLevel="0" collapsed="false">
      <c r="A157" s="7" t="s">
        <v>139</v>
      </c>
      <c r="B157" s="7" t="s">
        <v>112</v>
      </c>
      <c r="C157" s="7" t="s">
        <v>65</v>
      </c>
      <c r="D157" s="7" t="n">
        <v>15</v>
      </c>
      <c r="E157" s="10" t="n">
        <v>12.4</v>
      </c>
      <c r="F157" s="7" t="n">
        <v>47</v>
      </c>
    </row>
    <row r="158" customFormat="false" ht="15" hidden="false" customHeight="false" outlineLevel="0" collapsed="false">
      <c r="A158" s="7" t="s">
        <v>139</v>
      </c>
      <c r="B158" s="7" t="s">
        <v>113</v>
      </c>
      <c r="C158" s="7" t="s">
        <v>64</v>
      </c>
      <c r="D158" s="7" t="n">
        <v>8</v>
      </c>
      <c r="E158" s="10" t="n">
        <v>12.4</v>
      </c>
      <c r="F158" s="7" t="n">
        <v>30</v>
      </c>
    </row>
    <row r="159" customFormat="false" ht="15" hidden="false" customHeight="false" outlineLevel="0" collapsed="false">
      <c r="A159" s="7" t="s">
        <v>139</v>
      </c>
      <c r="B159" s="7" t="s">
        <v>114</v>
      </c>
      <c r="C159" s="7" t="s">
        <v>66</v>
      </c>
      <c r="D159" s="7" t="n">
        <v>14</v>
      </c>
      <c r="E159" s="10" t="n">
        <v>17.5</v>
      </c>
      <c r="F159" s="7" t="n">
        <v>38</v>
      </c>
    </row>
    <row r="160" customFormat="false" ht="15" hidden="false" customHeight="false" outlineLevel="0" collapsed="false">
      <c r="A160" s="7" t="s">
        <v>140</v>
      </c>
      <c r="B160" s="7" t="s">
        <v>109</v>
      </c>
      <c r="C160" s="7" t="s">
        <v>67</v>
      </c>
      <c r="D160" s="7" t="n">
        <v>11</v>
      </c>
      <c r="E160" s="10" t="n">
        <v>11.8</v>
      </c>
      <c r="F160" s="7" t="n">
        <v>40</v>
      </c>
    </row>
    <row r="161" customFormat="false" ht="15" hidden="false" customHeight="false" outlineLevel="0" collapsed="false">
      <c r="A161" s="7" t="s">
        <v>140</v>
      </c>
      <c r="B161" s="7" t="s">
        <v>110</v>
      </c>
      <c r="C161" s="7" t="s">
        <v>67</v>
      </c>
      <c r="D161" s="7" t="n">
        <v>18</v>
      </c>
      <c r="E161" s="10" t="n">
        <v>8.9</v>
      </c>
      <c r="F161" s="7" t="n">
        <v>44</v>
      </c>
    </row>
    <row r="162" customFormat="false" ht="15" hidden="false" customHeight="false" outlineLevel="0" collapsed="false">
      <c r="A162" s="7" t="s">
        <v>140</v>
      </c>
      <c r="B162" s="7" t="s">
        <v>111</v>
      </c>
      <c r="C162" s="7" t="s">
        <v>68</v>
      </c>
      <c r="D162" s="7" t="n">
        <v>12</v>
      </c>
      <c r="E162" s="10" t="n">
        <v>10.7</v>
      </c>
      <c r="F162" s="7" t="n">
        <v>37</v>
      </c>
    </row>
    <row r="163" customFormat="false" ht="15" hidden="false" customHeight="false" outlineLevel="0" collapsed="false">
      <c r="A163" s="7" t="s">
        <v>140</v>
      </c>
      <c r="B163" s="7" t="s">
        <v>112</v>
      </c>
      <c r="C163" s="7" t="s">
        <v>65</v>
      </c>
      <c r="D163" s="7" t="n">
        <v>12</v>
      </c>
      <c r="E163" s="10" t="n">
        <v>12.2</v>
      </c>
      <c r="F163" s="7" t="n">
        <v>43</v>
      </c>
    </row>
    <row r="164" customFormat="false" ht="15" hidden="false" customHeight="false" outlineLevel="0" collapsed="false">
      <c r="A164" s="7" t="s">
        <v>140</v>
      </c>
      <c r="B164" s="7" t="s">
        <v>113</v>
      </c>
      <c r="C164" s="7" t="s">
        <v>64</v>
      </c>
      <c r="D164" s="7" t="n">
        <v>11</v>
      </c>
      <c r="E164" s="10" t="n">
        <v>10.4</v>
      </c>
      <c r="F164" s="7" t="n">
        <v>39</v>
      </c>
    </row>
    <row r="165" customFormat="false" ht="15" hidden="false" customHeight="false" outlineLevel="0" collapsed="false">
      <c r="A165" s="7" t="s">
        <v>140</v>
      </c>
      <c r="B165" s="7" t="s">
        <v>114</v>
      </c>
      <c r="C165" s="7" t="s">
        <v>66</v>
      </c>
      <c r="D165" s="7" t="n">
        <v>12</v>
      </c>
      <c r="E165" s="10" t="n">
        <v>15.3</v>
      </c>
      <c r="F165" s="7" t="n">
        <v>39</v>
      </c>
    </row>
    <row r="166" customFormat="false" ht="15" hidden="false" customHeight="false" outlineLevel="0" collapsed="false">
      <c r="A166" s="7" t="s">
        <v>141</v>
      </c>
      <c r="B166" s="7" t="s">
        <v>109</v>
      </c>
      <c r="C166" s="7" t="s">
        <v>67</v>
      </c>
      <c r="D166" s="7" t="n">
        <v>1</v>
      </c>
      <c r="E166" s="10" t="n">
        <v>8.4</v>
      </c>
      <c r="F166" s="7" t="n">
        <v>30</v>
      </c>
    </row>
    <row r="167" customFormat="false" ht="15" hidden="false" customHeight="false" outlineLevel="0" collapsed="false">
      <c r="A167" s="7" t="s">
        <v>141</v>
      </c>
      <c r="B167" s="7" t="s">
        <v>110</v>
      </c>
      <c r="C167" s="7" t="s">
        <v>67</v>
      </c>
      <c r="D167" s="7" t="n">
        <v>17</v>
      </c>
      <c r="E167" s="10" t="n">
        <v>13.1</v>
      </c>
      <c r="F167" s="7" t="n">
        <v>29</v>
      </c>
    </row>
    <row r="168" customFormat="false" ht="15" hidden="false" customHeight="false" outlineLevel="0" collapsed="false">
      <c r="A168" s="7" t="s">
        <v>141</v>
      </c>
      <c r="B168" s="7" t="s">
        <v>111</v>
      </c>
      <c r="C168" s="7" t="s">
        <v>68</v>
      </c>
      <c r="D168" s="7" t="n">
        <v>10</v>
      </c>
      <c r="E168" s="10" t="n">
        <v>10.5</v>
      </c>
      <c r="F168" s="7" t="n">
        <v>35</v>
      </c>
    </row>
    <row r="169" customFormat="false" ht="15" hidden="false" customHeight="false" outlineLevel="0" collapsed="false">
      <c r="A169" s="7" t="s">
        <v>141</v>
      </c>
      <c r="B169" s="7" t="s">
        <v>112</v>
      </c>
      <c r="C169" s="7" t="s">
        <v>65</v>
      </c>
      <c r="D169" s="7" t="n">
        <v>18</v>
      </c>
      <c r="E169" s="10" t="n">
        <v>14.8</v>
      </c>
      <c r="F169" s="7" t="n">
        <v>40</v>
      </c>
    </row>
    <row r="170" customFormat="false" ht="15" hidden="false" customHeight="false" outlineLevel="0" collapsed="false">
      <c r="A170" s="7" t="s">
        <v>141</v>
      </c>
      <c r="B170" s="7" t="s">
        <v>113</v>
      </c>
      <c r="C170" s="7" t="s">
        <v>64</v>
      </c>
      <c r="D170" s="7" t="n">
        <v>20</v>
      </c>
      <c r="E170" s="10" t="n">
        <v>14.4</v>
      </c>
      <c r="F170" s="7" t="n">
        <v>35</v>
      </c>
    </row>
    <row r="171" customFormat="false" ht="15" hidden="false" customHeight="false" outlineLevel="0" collapsed="false">
      <c r="A171" s="7" t="s">
        <v>141</v>
      </c>
      <c r="B171" s="7" t="s">
        <v>114</v>
      </c>
      <c r="C171" s="7" t="s">
        <v>66</v>
      </c>
      <c r="D171" s="7" t="n">
        <v>14</v>
      </c>
      <c r="E171" s="10" t="n">
        <v>10.5</v>
      </c>
      <c r="F171" s="7" t="n">
        <v>40</v>
      </c>
    </row>
    <row r="172" customFormat="false" ht="15" hidden="false" customHeight="false" outlineLevel="0" collapsed="false">
      <c r="A172" s="7" t="s">
        <v>142</v>
      </c>
      <c r="B172" s="7" t="s">
        <v>109</v>
      </c>
      <c r="C172" s="7" t="s">
        <v>67</v>
      </c>
      <c r="D172" s="7" t="n">
        <v>17</v>
      </c>
      <c r="E172" s="10" t="n">
        <v>13.4</v>
      </c>
      <c r="F172" s="7" t="n">
        <v>37</v>
      </c>
    </row>
    <row r="173" customFormat="false" ht="15" hidden="false" customHeight="false" outlineLevel="0" collapsed="false">
      <c r="A173" s="7" t="s">
        <v>142</v>
      </c>
      <c r="B173" s="7" t="s">
        <v>110</v>
      </c>
      <c r="C173" s="7" t="s">
        <v>67</v>
      </c>
      <c r="D173" s="7" t="n">
        <v>11</v>
      </c>
      <c r="E173" s="10" t="n">
        <v>11.2</v>
      </c>
      <c r="F173" s="7" t="n">
        <v>51</v>
      </c>
    </row>
    <row r="174" customFormat="false" ht="15" hidden="false" customHeight="false" outlineLevel="0" collapsed="false">
      <c r="A174" s="7" t="s">
        <v>142</v>
      </c>
      <c r="B174" s="7" t="s">
        <v>111</v>
      </c>
      <c r="C174" s="7" t="s">
        <v>68</v>
      </c>
      <c r="D174" s="7" t="n">
        <v>15</v>
      </c>
      <c r="E174" s="10" t="n">
        <v>11.4</v>
      </c>
      <c r="F174" s="7" t="n">
        <v>31</v>
      </c>
    </row>
    <row r="175" customFormat="false" ht="15" hidden="false" customHeight="false" outlineLevel="0" collapsed="false">
      <c r="A175" s="7" t="s">
        <v>142</v>
      </c>
      <c r="B175" s="7" t="s">
        <v>112</v>
      </c>
      <c r="C175" s="7" t="s">
        <v>65</v>
      </c>
      <c r="D175" s="7" t="n">
        <v>17</v>
      </c>
      <c r="E175" s="10" t="n">
        <v>13.5</v>
      </c>
      <c r="F175" s="7" t="n">
        <v>26</v>
      </c>
    </row>
    <row r="176" customFormat="false" ht="15" hidden="false" customHeight="false" outlineLevel="0" collapsed="false">
      <c r="A176" s="7" t="s">
        <v>142</v>
      </c>
      <c r="B176" s="7" t="s">
        <v>113</v>
      </c>
      <c r="C176" s="7" t="s">
        <v>64</v>
      </c>
      <c r="D176" s="7" t="n">
        <v>23</v>
      </c>
      <c r="E176" s="10" t="n">
        <v>8.9</v>
      </c>
      <c r="F176" s="7" t="n">
        <v>44</v>
      </c>
    </row>
    <row r="177" customFormat="false" ht="15" hidden="false" customHeight="false" outlineLevel="0" collapsed="false">
      <c r="A177" s="7" t="s">
        <v>142</v>
      </c>
      <c r="B177" s="7" t="s">
        <v>114</v>
      </c>
      <c r="C177" s="7" t="s">
        <v>66</v>
      </c>
      <c r="D177" s="7" t="n">
        <v>15</v>
      </c>
      <c r="E177" s="10" t="n">
        <v>13.2</v>
      </c>
      <c r="F177" s="7" t="n">
        <v>26</v>
      </c>
    </row>
    <row r="178" customFormat="false" ht="15" hidden="false" customHeight="false" outlineLevel="0" collapsed="false">
      <c r="A178" s="7" t="s">
        <v>143</v>
      </c>
      <c r="B178" s="7" t="s">
        <v>109</v>
      </c>
      <c r="C178" s="7" t="s">
        <v>67</v>
      </c>
      <c r="D178" s="7" t="n">
        <v>10</v>
      </c>
      <c r="E178" s="10" t="n">
        <v>12.5</v>
      </c>
      <c r="F178" s="7" t="n">
        <v>38</v>
      </c>
    </row>
    <row r="179" customFormat="false" ht="15" hidden="false" customHeight="false" outlineLevel="0" collapsed="false">
      <c r="A179" s="7" t="s">
        <v>143</v>
      </c>
      <c r="B179" s="7" t="s">
        <v>110</v>
      </c>
      <c r="C179" s="7" t="s">
        <v>67</v>
      </c>
      <c r="D179" s="7" t="n">
        <v>11</v>
      </c>
      <c r="E179" s="10" t="n">
        <v>13</v>
      </c>
      <c r="F179" s="7" t="n">
        <v>46</v>
      </c>
    </row>
    <row r="180" customFormat="false" ht="15" hidden="false" customHeight="false" outlineLevel="0" collapsed="false">
      <c r="A180" s="7" t="s">
        <v>143</v>
      </c>
      <c r="B180" s="7" t="s">
        <v>111</v>
      </c>
      <c r="C180" s="7" t="s">
        <v>68</v>
      </c>
      <c r="D180" s="7" t="n">
        <v>14</v>
      </c>
      <c r="E180" s="10" t="n">
        <v>11.4</v>
      </c>
      <c r="F180" s="7" t="n">
        <v>54</v>
      </c>
    </row>
    <row r="181" customFormat="false" ht="15" hidden="false" customHeight="false" outlineLevel="0" collapsed="false">
      <c r="A181" s="7" t="s">
        <v>143</v>
      </c>
      <c r="B181" s="7" t="s">
        <v>112</v>
      </c>
      <c r="C181" s="7" t="s">
        <v>65</v>
      </c>
      <c r="D181" s="7" t="n">
        <v>14</v>
      </c>
      <c r="E181" s="10" t="n">
        <v>13.1</v>
      </c>
      <c r="F181" s="7" t="n">
        <v>39</v>
      </c>
    </row>
    <row r="182" customFormat="false" ht="15" hidden="false" customHeight="false" outlineLevel="0" collapsed="false">
      <c r="A182" s="7" t="s">
        <v>143</v>
      </c>
      <c r="B182" s="7" t="s">
        <v>113</v>
      </c>
      <c r="C182" s="7" t="s">
        <v>64</v>
      </c>
      <c r="D182" s="7" t="n">
        <v>7</v>
      </c>
      <c r="E182" s="10" t="n">
        <v>5.9</v>
      </c>
      <c r="F182" s="7" t="n">
        <v>37</v>
      </c>
    </row>
    <row r="183" customFormat="false" ht="15" hidden="false" customHeight="false" outlineLevel="0" collapsed="false">
      <c r="A183" s="7" t="s">
        <v>143</v>
      </c>
      <c r="B183" s="7" t="s">
        <v>114</v>
      </c>
      <c r="C183" s="7" t="s">
        <v>66</v>
      </c>
      <c r="D183" s="7" t="n">
        <v>20</v>
      </c>
      <c r="E183" s="10" t="n">
        <v>13.3</v>
      </c>
      <c r="F183" s="7" t="n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0"/>
  </cols>
  <sheetData>
    <row r="1" customFormat="false" ht="17.35" hidden="false" customHeight="false" outlineLevel="0" collapsed="false">
      <c r="A1" s="5" t="s">
        <v>144</v>
      </c>
    </row>
    <row r="3" customFormat="false" ht="15" hidden="false" customHeight="false" outlineLevel="0" collapsed="false">
      <c r="A3" s="13" t="s">
        <v>145</v>
      </c>
      <c r="B3" s="13" t="s">
        <v>146</v>
      </c>
    </row>
    <row r="4" customFormat="false" ht="15" hidden="false" customHeight="false" outlineLevel="0" collapsed="false">
      <c r="A4" s="7" t="s">
        <v>147</v>
      </c>
      <c r="B4" s="16" t="str">
        <f aca="false">Serie_Mensal!C21</f>
        <v>Jun/26</v>
      </c>
    </row>
    <row r="5" customFormat="false" ht="15" hidden="false" customHeight="false" outlineLevel="0" collapsed="false">
      <c r="A5" s="7" t="s">
        <v>148</v>
      </c>
      <c r="B5" s="17" t="n">
        <f aca="false">Serie_Mensal!C21/Serie_Mensal!C20-1</f>
        <v>0.000671460752035946</v>
      </c>
    </row>
    <row r="6" customFormat="false" ht="15" hidden="false" customHeight="false" outlineLevel="0" collapsed="false">
      <c r="A6" s="7" t="s">
        <v>149</v>
      </c>
      <c r="B6" s="16" t="n">
        <f aca="false">Serie_Mensal!D21</f>
        <v>63744343.63</v>
      </c>
    </row>
    <row r="7" customFormat="false" ht="15" hidden="false" customHeight="false" outlineLevel="0" collapsed="false">
      <c r="A7" s="7" t="s">
        <v>150</v>
      </c>
      <c r="B7" s="16" t="n">
        <f aca="false">Serie_Mensal!E21</f>
        <v>32883</v>
      </c>
    </row>
    <row r="8" customFormat="false" ht="15" hidden="false" customHeight="false" outlineLevel="0" collapsed="false">
      <c r="A8" s="7" t="s">
        <v>151</v>
      </c>
      <c r="B8" s="17" t="n">
        <f aca="false">Serie_Mensal!I21</f>
        <v>1.26999391427885</v>
      </c>
    </row>
    <row r="9" customFormat="false" ht="15" hidden="false" customHeight="false" outlineLevel="0" collapsed="false">
      <c r="A9" s="7" t="s">
        <v>152</v>
      </c>
      <c r="B9" s="17" t="n">
        <f aca="false">Serie_Mensal!F21</f>
        <v>1938.51971018459</v>
      </c>
    </row>
    <row r="10" customFormat="false" ht="15" hidden="false" customHeight="false" outlineLevel="0" collapsed="false">
      <c r="A10" s="7" t="s">
        <v>153</v>
      </c>
      <c r="B10" s="17" t="n">
        <f aca="false">Serie_Mensal!G21</f>
        <v>5.14536640673384</v>
      </c>
    </row>
    <row r="11" customFormat="false" ht="15" hidden="false" customHeight="false" outlineLevel="0" collapsed="false">
      <c r="A11" s="7" t="s">
        <v>154</v>
      </c>
      <c r="B11" s="17" t="n">
        <f aca="false">Serie_Mensal!H21</f>
        <v>3.18590489846417</v>
      </c>
    </row>
    <row r="12" customFormat="false" ht="15" hidden="false" customHeight="false" outlineLevel="0" collapsed="false">
      <c r="A12" s="7" t="s">
        <v>155</v>
      </c>
      <c r="B12" s="18" t="n">
        <f aca="false">Serie_Mensal!J21</f>
        <v>70.7936693768557</v>
      </c>
    </row>
    <row r="13" customFormat="false" ht="15" hidden="false" customHeight="false" outlineLevel="0" collapsed="false">
      <c r="A13" s="7" t="s">
        <v>156</v>
      </c>
      <c r="B13" s="17" t="n">
        <f aca="false">Serie_Mensal!K21</f>
        <v>10.9834464616975</v>
      </c>
    </row>
    <row r="14" customFormat="false" ht="15" hidden="false" customHeight="false" outlineLevel="0" collapsed="false">
      <c r="A14" s="7" t="s">
        <v>157</v>
      </c>
      <c r="B14" s="18" t="n">
        <f aca="false">Serie_Mensal!L21</f>
        <v>62.8623883155262</v>
      </c>
    </row>
    <row r="15" customFormat="false" ht="15" hidden="false" customHeight="false" outlineLevel="0" collapsed="false">
      <c r="A15" s="7" t="s">
        <v>158</v>
      </c>
      <c r="B15" s="16" t="n">
        <f aca="false">SUM(Regional!B4:B8)</f>
        <v>128110124.122444</v>
      </c>
    </row>
    <row r="16" customFormat="false" ht="15" hidden="false" customHeight="false" outlineLevel="0" collapsed="false">
      <c r="A16" s="7" t="s">
        <v>159</v>
      </c>
      <c r="B16" s="16" t="n">
        <f aca="false">SUM(Regional!C4:C8)</f>
        <v>41015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2026-07-07T13:01:21Z</dcterms:created>
  <dc:creator>openpyxl</dc:creator>
  <dc:description/>
  <dc:language>en-US</dc:language>
  <cp:lastModifiedBy/>
  <dcterms:modified xsi:type="dcterms:W3CDTF">2026-07-07T13:01:26Z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